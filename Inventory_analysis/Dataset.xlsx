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Manufacturing_dataset" sheetId="1" r:id="rId1"/>
  </sheets>
  <definedNames>
    <definedName name="_xlnm._FilterDatabase" localSheetId="0" hidden="1">Manufacturing_dataset!$A$353:$H$363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2" i="1" l="1"/>
  <c r="E354" i="1"/>
  <c r="E361" i="1"/>
  <c r="E356" i="1"/>
  <c r="E359" i="1"/>
  <c r="E355" i="1"/>
  <c r="E363" i="1"/>
  <c r="E357" i="1"/>
  <c r="E360" i="1"/>
  <c r="E358" i="1"/>
  <c r="E286" i="1" l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285" i="1"/>
  <c r="G285" i="1"/>
  <c r="H285" i="1"/>
  <c r="F285" i="1"/>
  <c r="H261" i="1"/>
  <c r="H256" i="1"/>
  <c r="I257" i="1"/>
  <c r="I258" i="1"/>
  <c r="I260" i="1"/>
  <c r="I256" i="1"/>
  <c r="G257" i="1"/>
  <c r="I262" i="1" s="1"/>
  <c r="G256" i="1"/>
  <c r="K256" i="1" s="1"/>
  <c r="G259" i="1" l="1"/>
  <c r="I259" i="1"/>
  <c r="J256" i="1" s="1"/>
  <c r="I265" i="1"/>
  <c r="J257" i="1"/>
  <c r="I264" i="1"/>
  <c r="I263" i="1"/>
  <c r="G258" i="1"/>
  <c r="I261" i="1"/>
  <c r="F287" i="1"/>
  <c r="G240" i="1"/>
  <c r="G241" i="1"/>
  <c r="G242" i="1"/>
  <c r="G243" i="1"/>
  <c r="G244" i="1"/>
  <c r="G245" i="1"/>
  <c r="G246" i="1"/>
  <c r="G247" i="1"/>
  <c r="G248" i="1"/>
  <c r="G239" i="1"/>
  <c r="J262" i="1" l="1"/>
  <c r="G262" i="1"/>
  <c r="J261" i="1"/>
  <c r="G261" i="1"/>
  <c r="G260" i="1"/>
  <c r="J259" i="1" s="1"/>
  <c r="J258" i="1"/>
  <c r="F229" i="1"/>
  <c r="E227" i="1"/>
  <c r="F227" i="1" s="1"/>
  <c r="E228" i="1"/>
  <c r="F228" i="1" s="1"/>
  <c r="E229" i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26" i="1"/>
  <c r="F226" i="1" s="1"/>
  <c r="G263" i="1" l="1"/>
  <c r="J264" i="1" s="1"/>
  <c r="J263" i="1"/>
  <c r="G205" i="1"/>
  <c r="G206" i="1"/>
  <c r="G207" i="1"/>
  <c r="G208" i="1"/>
  <c r="G209" i="1"/>
  <c r="G210" i="1"/>
  <c r="G211" i="1"/>
  <c r="G212" i="1"/>
  <c r="G213" i="1"/>
  <c r="G204" i="1"/>
  <c r="F205" i="1"/>
  <c r="F206" i="1"/>
  <c r="F207" i="1"/>
  <c r="F208" i="1"/>
  <c r="F209" i="1"/>
  <c r="F210" i="1"/>
  <c r="F211" i="1"/>
  <c r="F212" i="1"/>
  <c r="F213" i="1"/>
  <c r="F204" i="1"/>
  <c r="E205" i="1"/>
  <c r="E206" i="1"/>
  <c r="E207" i="1"/>
  <c r="E208" i="1"/>
  <c r="E209" i="1"/>
  <c r="E210" i="1"/>
  <c r="E211" i="1"/>
  <c r="E212" i="1"/>
  <c r="E213" i="1"/>
  <c r="E204" i="1"/>
  <c r="G183" i="1" l="1"/>
  <c r="G187" i="1"/>
  <c r="G188" i="1"/>
  <c r="G194" i="1"/>
  <c r="G198" i="1"/>
  <c r="G199" i="1"/>
  <c r="D200" i="1"/>
  <c r="G181" i="1" s="1"/>
  <c r="G192" i="1" l="1"/>
  <c r="G182" i="1"/>
  <c r="G196" i="1"/>
  <c r="G191" i="1"/>
  <c r="G186" i="1"/>
  <c r="G180" i="1"/>
  <c r="G195" i="1"/>
  <c r="G190" i="1"/>
  <c r="G184" i="1"/>
  <c r="G197" i="1"/>
  <c r="G193" i="1"/>
  <c r="G189" i="1"/>
  <c r="G185" i="1"/>
  <c r="F154" i="1"/>
  <c r="F155" i="1"/>
  <c r="F156" i="1"/>
  <c r="F157" i="1"/>
  <c r="F158" i="1"/>
  <c r="F159" i="1"/>
  <c r="F160" i="1"/>
  <c r="F161" i="1"/>
  <c r="F162" i="1"/>
  <c r="F153" i="1"/>
  <c r="E154" i="1"/>
  <c r="E155" i="1"/>
  <c r="E156" i="1"/>
  <c r="E157" i="1"/>
  <c r="E158" i="1"/>
  <c r="E159" i="1"/>
  <c r="E160" i="1"/>
  <c r="E161" i="1"/>
  <c r="E162" i="1"/>
  <c r="E153" i="1"/>
  <c r="F141" i="1"/>
  <c r="F142" i="1"/>
  <c r="F143" i="1"/>
  <c r="F144" i="1"/>
  <c r="F145" i="1"/>
  <c r="F146" i="1"/>
  <c r="F147" i="1"/>
  <c r="F148" i="1"/>
  <c r="F149" i="1"/>
  <c r="F140" i="1"/>
  <c r="E141" i="1"/>
  <c r="E142" i="1"/>
  <c r="E143" i="1"/>
  <c r="E144" i="1"/>
  <c r="E145" i="1"/>
  <c r="E146" i="1"/>
  <c r="E147" i="1"/>
  <c r="E148" i="1"/>
  <c r="E149" i="1"/>
  <c r="E140" i="1"/>
  <c r="I128" i="1" l="1"/>
  <c r="I129" i="1"/>
  <c r="I130" i="1"/>
  <c r="I131" i="1"/>
  <c r="I132" i="1"/>
  <c r="I133" i="1"/>
  <c r="I134" i="1"/>
  <c r="I135" i="1"/>
  <c r="I136" i="1"/>
  <c r="I127" i="1"/>
  <c r="I103" i="1" l="1"/>
  <c r="I104" i="1"/>
  <c r="I105" i="1"/>
  <c r="I106" i="1"/>
  <c r="I107" i="1"/>
  <c r="I108" i="1"/>
  <c r="I109" i="1"/>
  <c r="I110" i="1"/>
  <c r="I111" i="1"/>
  <c r="I102" i="1"/>
  <c r="E66" i="1" l="1"/>
  <c r="E67" i="1"/>
  <c r="E65" i="1"/>
  <c r="F53" i="1" l="1"/>
  <c r="F54" i="1"/>
  <c r="F55" i="1"/>
  <c r="F56" i="1"/>
  <c r="F57" i="1"/>
  <c r="F58" i="1"/>
  <c r="F59" i="1"/>
  <c r="F60" i="1"/>
  <c r="F61" i="1"/>
  <c r="F52" i="1"/>
  <c r="G52" i="1"/>
  <c r="F23" i="1" l="1"/>
  <c r="F24" i="1"/>
  <c r="F25" i="1"/>
  <c r="F26" i="1"/>
  <c r="F22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H31" i="1" l="1"/>
  <c r="H32" i="1"/>
  <c r="E13" i="1"/>
  <c r="E14" i="1"/>
  <c r="E15" i="1"/>
  <c r="E16" i="1"/>
  <c r="E12" i="1"/>
  <c r="F4" i="1"/>
  <c r="G4" i="1" s="1"/>
  <c r="H4" i="1" s="1"/>
  <c r="I4" i="1" s="1"/>
  <c r="F5" i="1"/>
  <c r="G5" i="1" s="1"/>
  <c r="H5" i="1" s="1"/>
  <c r="I5" i="1" s="1"/>
  <c r="F6" i="1"/>
  <c r="G6" i="1" s="1"/>
  <c r="H6" i="1" s="1"/>
  <c r="I6" i="1" s="1"/>
  <c r="F7" i="1"/>
  <c r="G7" i="1"/>
  <c r="H7" i="1" s="1"/>
  <c r="I7" i="1" s="1"/>
  <c r="F3" i="1"/>
  <c r="G3" i="1" s="1"/>
  <c r="H3" i="1" s="1"/>
  <c r="I3" i="1" s="1"/>
</calcChain>
</file>

<file path=xl/sharedStrings.xml><?xml version="1.0" encoding="utf-8"?>
<sst xmlns="http://schemas.openxmlformats.org/spreadsheetml/2006/main" count="801" uniqueCount="480">
  <si>
    <t>Product_ID</t>
  </si>
  <si>
    <t>Product_Category</t>
  </si>
  <si>
    <t>Beginning_Inventory</t>
  </si>
  <si>
    <t>Ending_Inventory</t>
  </si>
  <si>
    <t>COGS</t>
  </si>
  <si>
    <t>M-501</t>
  </si>
  <si>
    <t>Raw Materials</t>
  </si>
  <si>
    <t>M-502</t>
  </si>
  <si>
    <t>Work in Progress</t>
  </si>
  <si>
    <t>M-503</t>
  </si>
  <si>
    <t>Finished Goods</t>
  </si>
  <si>
    <t>M-504</t>
  </si>
  <si>
    <t>Packaging Supplies</t>
  </si>
  <si>
    <t>M-505</t>
  </si>
  <si>
    <t>Spare Parts</t>
  </si>
  <si>
    <t>Average Inventory</t>
  </si>
  <si>
    <t>Mandatory component of the ratio.</t>
  </si>
  <si>
    <t>Turnover Ratio</t>
  </si>
  <si>
    <t>Measures how often stock is replaced.</t>
  </si>
  <si>
    <t>Days to Sell (DSI)</t>
  </si>
  <si>
    <t>Period</t>
  </si>
  <si>
    <t>Purchases_or_COGM</t>
  </si>
  <si>
    <t>January</t>
  </si>
  <si>
    <t>February</t>
  </si>
  <si>
    <t>March</t>
  </si>
  <si>
    <t>April</t>
  </si>
  <si>
    <t>May</t>
  </si>
  <si>
    <t>Calculated COGS</t>
  </si>
  <si>
    <t>Stock Status</t>
  </si>
  <si>
    <t>Product Name</t>
  </si>
  <si>
    <t>Avg Inventory</t>
  </si>
  <si>
    <t>DSI</t>
  </si>
  <si>
    <t>Status (IF Formula)</t>
  </si>
  <si>
    <t>Ultra HD Monitor</t>
  </si>
  <si>
    <t>Pro Keyboard</t>
  </si>
  <si>
    <t>Ergo Mouse</t>
  </si>
  <si>
    <t>USB C Dock</t>
  </si>
  <si>
    <t>Noise Headphones</t>
  </si>
  <si>
    <t>Variance</t>
  </si>
  <si>
    <t>Accuracy_Status</t>
  </si>
  <si>
    <t>Total Accuracy %</t>
  </si>
  <si>
    <t>Field Name</t>
  </si>
  <si>
    <t>Data Type</t>
  </si>
  <si>
    <t>Purpose</t>
  </si>
  <si>
    <t>Location</t>
  </si>
  <si>
    <t>Text</t>
  </si>
  <si>
    <t>Physical Count</t>
  </si>
  <si>
    <t>Item ID</t>
  </si>
  <si>
    <t>Unit Cost</t>
  </si>
  <si>
    <t>System Qty</t>
  </si>
  <si>
    <t>SKU-1001</t>
  </si>
  <si>
    <t>Aisle 1</t>
  </si>
  <si>
    <t>SKU-1002</t>
  </si>
  <si>
    <t>Aisle 2</t>
  </si>
  <si>
    <t>SKU-1003</t>
  </si>
  <si>
    <t>SKU-1004</t>
  </si>
  <si>
    <t>Zone B</t>
  </si>
  <si>
    <t>SKU-1005</t>
  </si>
  <si>
    <t>Zone C</t>
  </si>
  <si>
    <t>SKU-1006</t>
  </si>
  <si>
    <t>Aisle 3</t>
  </si>
  <si>
    <t>SKU-1007</t>
  </si>
  <si>
    <t>Zone A</t>
  </si>
  <si>
    <t>SKU-1008</t>
  </si>
  <si>
    <t>SKU-1009</t>
  </si>
  <si>
    <t>SKU-1010</t>
  </si>
  <si>
    <t>3. Inventory Accuracy Tracking Template</t>
  </si>
  <si>
    <t>4. Stockout Rate</t>
  </si>
  <si>
    <t>Order ID</t>
  </si>
  <si>
    <t>ID / Text</t>
  </si>
  <si>
    <t>A unique identifier for every customer order placed.</t>
  </si>
  <si>
    <t>Order Date</t>
  </si>
  <si>
    <t>Date</t>
  </si>
  <si>
    <t>Used to track the rate over specific periods (weekly</t>
  </si>
  <si>
    <t>Requested Item</t>
  </si>
  <si>
    <t>Text / SKU</t>
  </si>
  <si>
    <t>The specific product the customer wanted to buy.</t>
  </si>
  <si>
    <t>Fulfillment Status</t>
  </si>
  <si>
    <t>Used to mark if an order was "Shipped" or "Stockout/Cancelled".</t>
  </si>
  <si>
    <t>Stockout Event</t>
  </si>
  <si>
    <t>Boolean (0/1)</t>
  </si>
  <si>
    <t>A flag (1 for Yes; 0 for No) indicating the item was unavailable when ordered.</t>
  </si>
  <si>
    <t>Customer</t>
  </si>
  <si>
    <t>ORD-501</t>
  </si>
  <si>
    <t>User A</t>
  </si>
  <si>
    <t>Shipped</t>
  </si>
  <si>
    <t>ORD-502</t>
  </si>
  <si>
    <t>User B</t>
  </si>
  <si>
    <t>Stockout</t>
  </si>
  <si>
    <t>ORD-503</t>
  </si>
  <si>
    <t>User C</t>
  </si>
  <si>
    <t>ORD-504</t>
  </si>
  <si>
    <t>User D</t>
  </si>
  <si>
    <t>ORD-505</t>
  </si>
  <si>
    <t>User E</t>
  </si>
  <si>
    <t>ORD-506</t>
  </si>
  <si>
    <t>User F</t>
  </si>
  <si>
    <t>ORD-507</t>
  </si>
  <si>
    <t>User G</t>
  </si>
  <si>
    <t>ORD-508</t>
  </si>
  <si>
    <t>User H</t>
  </si>
  <si>
    <t>ORD-509</t>
  </si>
  <si>
    <t>User I</t>
  </si>
  <si>
    <t>ORD-510</t>
  </si>
  <si>
    <t>User J</t>
  </si>
  <si>
    <t>Order_ID</t>
  </si>
  <si>
    <t>Item_Ordered</t>
  </si>
  <si>
    <t>Order_Status</t>
  </si>
  <si>
    <t>Stockout Rate  - for each product</t>
  </si>
  <si>
    <t>Stockout Rate - overall</t>
  </si>
  <si>
    <t>Stockout_Event</t>
  </si>
  <si>
    <t>System_Record_(A)</t>
  </si>
  <si>
    <t>Physical_Count_(B)</t>
  </si>
  <si>
    <t>Variance_(A-B)</t>
  </si>
  <si>
    <t>Accuracy_%</t>
  </si>
  <si>
    <t>Ultra_HD_Monitor</t>
  </si>
  <si>
    <t>Ergo_Mouse</t>
  </si>
  <si>
    <t>USB_C_Dock</t>
  </si>
  <si>
    <t>5. Cycle Count Accuracy</t>
  </si>
  <si>
    <t>6. Order Cycle Time</t>
  </si>
  <si>
    <t>Order_Date</t>
  </si>
  <si>
    <t>Delivery_Date</t>
  </si>
  <si>
    <t>Cycle Time_in_Days</t>
  </si>
  <si>
    <t>SKU_ID</t>
  </si>
  <si>
    <t>Avg_Daily_Demand (Davg​)</t>
  </si>
  <si>
    <t>Demand_Std_Dev (σD​)</t>
  </si>
  <si>
    <t>Avg_Lead_Time (LTavg​)</t>
  </si>
  <si>
    <t>LT_Std_Dev (σLT​)</t>
  </si>
  <si>
    <t>Safety Stock (Units)</t>
  </si>
  <si>
    <t>Inventory Value ($)</t>
  </si>
  <si>
    <t>SKU-001</t>
  </si>
  <si>
    <t>[Scenario 2]</t>
  </si>
  <si>
    <t>...</t>
  </si>
  <si>
    <t>7. How to Evaluate "8 Safety Stock Levels"</t>
  </si>
  <si>
    <t>Level</t>
  </si>
  <si>
    <t>Service Level (%)</t>
  </si>
  <si>
    <t>Z-Score</t>
  </si>
  <si>
    <t>Safety Stock Units</t>
  </si>
  <si>
    <t>Financial Impact</t>
  </si>
  <si>
    <t>Low</t>
  </si>
  <si>
    <t>Minimal capital tied up; High stockout risk.</t>
  </si>
  <si>
    <t>The "Standard" balance.</t>
  </si>
  <si>
    <t>High capital tied up; Low stockout risk.</t>
  </si>
  <si>
    <t>Extreme</t>
  </si>
  <si>
    <t>Just in Case / Critical items only.</t>
  </si>
  <si>
    <t>SKU-001 Sensitivity Analysis (10 Evaluation Scenarios)</t>
  </si>
  <si>
    <t>Scenario</t>
  </si>
  <si>
    <t>1 (Base)</t>
  </si>
  <si>
    <t>Converts the ratio into actual.</t>
  </si>
  <si>
    <t>Demand_Std_Dev_σD​</t>
  </si>
  <si>
    <t>Service_Level_%</t>
  </si>
  <si>
    <t>Avg_Daily_Demand_Davg​</t>
  </si>
  <si>
    <t>Inventory_Value_$</t>
  </si>
  <si>
    <t>Safety_Stock_Units_G</t>
  </si>
  <si>
    <t>Safety_Stock_Units_AI</t>
  </si>
  <si>
    <t>Avg_Lead_Time_LTavg​_days</t>
  </si>
  <si>
    <t>LT_Std_Dev_σLT​_days</t>
  </si>
  <si>
    <t>8. Carrying Cost</t>
  </si>
  <si>
    <t>1. Calculation Logic</t>
  </si>
  <si>
    <t>Sum your annual carrying expenses and divide them by your average inventory value:</t>
  </si>
  <si>
    <t>Category</t>
  </si>
  <si>
    <t>Item to Input</t>
  </si>
  <si>
    <t>Data Source</t>
  </si>
  <si>
    <t>Inventory Value</t>
  </si>
  <si>
    <t>Average Stock Value (e.g., $1,000,000)</t>
  </si>
  <si>
    <t>Balance Sheet</t>
  </si>
  <si>
    <t>Storage</t>
  </si>
  <si>
    <t>Rent + Utilities + Warehouse Labor</t>
  </si>
  <si>
    <t>P&amp;L Statement</t>
  </si>
  <si>
    <t>Service</t>
  </si>
  <si>
    <t>Insurance Premiums + Taxes</t>
  </si>
  <si>
    <t>Accounting</t>
  </si>
  <si>
    <t>Risk</t>
  </si>
  <si>
    <t>Shrinkage + Obsolescence + Damage</t>
  </si>
  <si>
    <t>Inventory Audit</t>
  </si>
  <si>
    <t>Capital</t>
  </si>
  <si>
    <t>(Inv. Value) $\times$ (Cost of Capital %)</t>
  </si>
  <si>
    <t>Finance Dept</t>
  </si>
  <si>
    <t>Carrying Cost Evaluation Table</t>
  </si>
  <si>
    <t>Row ID</t>
  </si>
  <si>
    <t>Avg. Inventory Value ($)</t>
  </si>
  <si>
    <t>Storage ($)</t>
  </si>
  <si>
    <t>Insurance ($)</t>
  </si>
  <si>
    <t>Depreciation ($)</t>
  </si>
  <si>
    <t>Opportunity Cost ($)</t>
  </si>
  <si>
    <t>Total Carrying Cost ($)</t>
  </si>
  <si>
    <t>Carrying Cost (%)</t>
  </si>
  <si>
    <t>9. Demand Forecast Accuracy</t>
  </si>
  <si>
    <t>Absolute Error</t>
  </si>
  <si>
    <t>Accuracy %</t>
  </si>
  <si>
    <t>June</t>
  </si>
  <si>
    <t>July</t>
  </si>
  <si>
    <t>August</t>
  </si>
  <si>
    <t>September</t>
  </si>
  <si>
    <t>October</t>
  </si>
  <si>
    <t>Period_(Month)</t>
  </si>
  <si>
    <t>Forecasted_Demand</t>
  </si>
  <si>
    <t>Actual_Demand</t>
  </si>
  <si>
    <t>10. Shrinkage Rate</t>
  </si>
  <si>
    <t>Row</t>
  </si>
  <si>
    <t>Unaccounted Inventory ($)</t>
  </si>
  <si>
    <t>Shrinkage Rate (%)</t>
  </si>
  <si>
    <t>Electronics</t>
  </si>
  <si>
    <t>Apparel</t>
  </si>
  <si>
    <t>Home Goods</t>
  </si>
  <si>
    <t>Groceries</t>
  </si>
  <si>
    <t>Cosmetics</t>
  </si>
  <si>
    <t>Footwear</t>
  </si>
  <si>
    <t>Accessories</t>
  </si>
  <si>
    <t>Toys</t>
  </si>
  <si>
    <t>Beverages</t>
  </si>
  <si>
    <t>Stationery</t>
  </si>
  <si>
    <t>Total_Recorded_Value_($)</t>
  </si>
  <si>
    <t>Actual_Physical_Value_($)</t>
  </si>
  <si>
    <t>11. Total Inventory / Total Sales</t>
  </si>
  <si>
    <t>Month</t>
  </si>
  <si>
    <t>Total_Sales_$</t>
  </si>
  <si>
    <t>Beginning_Of_Month_Inventory_$</t>
  </si>
  <si>
    <t>Stock_to_Sales_Ratio</t>
  </si>
  <si>
    <t>A</t>
  </si>
  <si>
    <t>SKU-002</t>
  </si>
  <si>
    <t>SKU-003</t>
  </si>
  <si>
    <t>SKU-004</t>
  </si>
  <si>
    <t>SKU-005</t>
  </si>
  <si>
    <t>B</t>
  </si>
  <si>
    <t>SKU-006</t>
  </si>
  <si>
    <t>SKU-007</t>
  </si>
  <si>
    <t>SKU-008</t>
  </si>
  <si>
    <t>SKU-009</t>
  </si>
  <si>
    <t>C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</si>
  <si>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</si>
  <si>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</si>
  <si>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</si>
  <si>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</si>
  <si>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</si>
  <si>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</si>
  <si>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</si>
  <si>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</si>
  <si>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</si>
  <si>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</si>
  <si>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</si>
  <si>
    <t>Unit_Cost_$</t>
  </si>
  <si>
    <t>Total_Value_$</t>
  </si>
  <si>
    <t>Annual_Demand_Units</t>
  </si>
  <si>
    <t>Cumul._%</t>
  </si>
  <si>
    <t>12. ABC Analysis</t>
  </si>
  <si>
    <t>Variance (Mins)</t>
  </si>
  <si>
    <t>Status</t>
  </si>
  <si>
    <t>Compliance %</t>
  </si>
  <si>
    <t>JIT-001</t>
  </si>
  <si>
    <t>Steel Coils</t>
  </si>
  <si>
    <t>Compliant</t>
  </si>
  <si>
    <t>JIT-002</t>
  </si>
  <si>
    <t>Microchips</t>
  </si>
  <si>
    <t>JIT-003</t>
  </si>
  <si>
    <t>Plastic Resin</t>
  </si>
  <si>
    <t>Early</t>
  </si>
  <si>
    <t>JIT-004</t>
  </si>
  <si>
    <t>Wiring Harness</t>
  </si>
  <si>
    <t>Late</t>
  </si>
  <si>
    <t>JIT-005</t>
  </si>
  <si>
    <t>Glass Panels</t>
  </si>
  <si>
    <t>JIT-006</t>
  </si>
  <si>
    <t>Fasteners</t>
  </si>
  <si>
    <t>JIT-007</t>
  </si>
  <si>
    <t>Cooling Fans</t>
  </si>
  <si>
    <t>JIT-008</t>
  </si>
  <si>
    <t>Aluminum Sheets</t>
  </si>
  <si>
    <t>JIT-009</t>
  </si>
  <si>
    <t>Brake Pads</t>
  </si>
  <si>
    <t>JIT-010</t>
  </si>
  <si>
    <t>Seat Fabric</t>
  </si>
  <si>
    <t>Financial Impact Analysis</t>
  </si>
  <si>
    <t>Count</t>
  </si>
  <si>
    <t>Primary Cost Driver</t>
  </si>
  <si>
    <t>Estimated Unit Cost</t>
  </si>
  <si>
    <t>Total Impact</t>
  </si>
  <si>
    <t>N/A (Efficient Flow)</t>
  </si>
  <si>
    <t>Storage &amp; Double Handling</t>
  </si>
  <si>
    <t>$150 / batch</t>
  </si>
  <si>
    <t>Production Downtime / Labor Idle</t>
  </si>
  <si>
    <t>$1,200 / hr delay</t>
  </si>
  <si>
    <t>TOTAL</t>
  </si>
  <si>
    <t>Batch_ID</t>
  </si>
  <si>
    <t>Material_Type</t>
  </si>
  <si>
    <t>Scheduled_Arrival</t>
  </si>
  <si>
    <t>Actual_Arrival</t>
  </si>
  <si>
    <t>Summary Table for Excel</t>
  </si>
  <si>
    <t>To get...</t>
  </si>
  <si>
    <t>Excel Formula</t>
  </si>
  <si>
    <t>Cell Format</t>
  </si>
  <si>
    <t>Minutes</t>
  </si>
  <si>
    <t>Number</t>
  </si>
  <si>
    <t>Hours</t>
  </si>
  <si>
    <t>Days</t>
  </si>
  <si>
    <t>(Actual - Scheduled) * 1440</t>
  </si>
  <si>
    <t>(Actual - Scheduled) * 24</t>
  </si>
  <si>
    <t>Actual - Scheduled</t>
  </si>
  <si>
    <t>13. JIT Compliance Evaluation Data (10 Samples)</t>
  </si>
  <si>
    <t>P001</t>
  </si>
  <si>
    <t>P002</t>
  </si>
  <si>
    <t>Clothing</t>
  </si>
  <si>
    <t>P003</t>
  </si>
  <si>
    <t>Home Decor</t>
  </si>
  <si>
    <t>P004</t>
  </si>
  <si>
    <t>P005</t>
  </si>
  <si>
    <t>Books</t>
  </si>
  <si>
    <t>P006</t>
  </si>
  <si>
    <t>Beauty</t>
  </si>
  <si>
    <t>P007</t>
  </si>
  <si>
    <t>P008</t>
  </si>
  <si>
    <t>P009</t>
  </si>
  <si>
    <t>Furniture</t>
  </si>
  <si>
    <t>P010</t>
  </si>
  <si>
    <t>Jewelry</t>
  </si>
  <si>
    <t>Return Rate (%)</t>
  </si>
  <si>
    <t>Total_Sold</t>
  </si>
  <si>
    <t>Returned_Items</t>
  </si>
  <si>
    <t>14. Return Rate</t>
  </si>
  <si>
    <t>15. GMROI (Gross Margin ROI)</t>
  </si>
  <si>
    <t>GMROI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</si>
  <si>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</si>
  <si>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</si>
  <si>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</si>
  <si>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</si>
  <si>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</si>
  <si>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</si>
  <si>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</si>
  <si>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</si>
  <si>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Luxury Watches</t>
  </si>
  <si>
    <t>PROD-009</t>
  </si>
  <si>
    <t>PROD-010</t>
  </si>
  <si>
    <t>Net_Sales</t>
  </si>
  <si>
    <t>Gross_Margin_$</t>
  </si>
  <si>
    <t>Avg._Inventory_(Cost)</t>
  </si>
  <si>
    <t>16. Lead Time Variability</t>
  </si>
  <si>
    <t>Supplier ID</t>
  </si>
  <si>
    <t>Standard Deviation (σ)</t>
  </si>
  <si>
    <t>Avg. Lead Time (Days)</t>
  </si>
  <si>
    <t>Coeff. of Variation (CV)</t>
  </si>
  <si>
    <t>Performance Classification</t>
  </si>
  <si>
    <t>Action Required</t>
  </si>
  <si>
    <t>SUP-A</t>
  </si>
  <si>
    <t>Highly Reliable</t>
  </si>
  <si>
    <t>Maintain Lean replenishment</t>
  </si>
  <si>
    <t>SUP-B</t>
  </si>
  <si>
    <t>High Risk</t>
  </si>
  <si>
    <t>Increase safety stock significantly</t>
  </si>
  <si>
    <t>SUP-C</t>
  </si>
  <si>
    <t>Long but predictable; easy to plan</t>
  </si>
  <si>
    <t>SUP-D</t>
  </si>
  <si>
    <t>Unpredictable; requires buffer inventory</t>
  </si>
  <si>
    <t>SUP-E</t>
  </si>
  <si>
    <t>Acceptable</t>
  </si>
  <si>
    <t>Stable; monitor for minor shifts</t>
  </si>
  <si>
    <t>SUP-F</t>
  </si>
  <si>
    <t>Critical Risk</t>
  </si>
  <si>
    <t>Potential for stockouts; investigate root cause</t>
  </si>
  <si>
    <t>SUP-G</t>
  </si>
  <si>
    <t>Standard performance</t>
  </si>
  <si>
    <t>SUP-H</t>
  </si>
  <si>
    <t>High variability relative to lead time</t>
  </si>
  <si>
    <t>SUP-I</t>
  </si>
  <si>
    <t>Very consistent despite long duration</t>
  </si>
  <si>
    <t>SUP-J</t>
  </si>
  <si>
    <t>Moderate Risk</t>
  </si>
  <si>
    <t>Review performance; seek improvement</t>
  </si>
  <si>
    <r>
      <t xml:space="preserve">To evaluate </t>
    </r>
    <r>
      <rPr>
        <b/>
        <sz val="11"/>
        <color theme="1"/>
        <rFont val="Calibri"/>
        <family val="2"/>
        <scheme val="minor"/>
      </rPr>
      <t>Lead Time Variability</t>
    </r>
    <r>
      <rPr>
        <sz val="11"/>
        <color theme="1"/>
        <rFont val="Calibri"/>
        <family val="2"/>
        <scheme val="minor"/>
      </rPr>
      <t xml:space="preserve">, you need a dataset that tracks the difference between the </t>
    </r>
    <r>
      <rPr>
        <b/>
        <sz val="11"/>
        <color theme="1"/>
        <rFont val="Calibri"/>
        <family val="2"/>
        <scheme val="minor"/>
      </rPr>
      <t>Expected Delivery Date</t>
    </r>
    <r>
      <rPr>
        <sz val="11"/>
        <color theme="1"/>
        <rFont val="Calibri"/>
        <family val="2"/>
        <scheme val="minor"/>
      </rPr>
      <t xml:space="preserve"> and the </t>
    </r>
    <r>
      <rPr>
        <b/>
        <sz val="11"/>
        <color theme="1"/>
        <rFont val="Calibri"/>
        <family val="2"/>
        <scheme val="minor"/>
      </rPr>
      <t>Actual Delivery Date</t>
    </r>
    <r>
      <rPr>
        <sz val="11"/>
        <color theme="1"/>
        <rFont val="Calibri"/>
        <family val="2"/>
        <scheme val="minor"/>
      </rPr>
      <t xml:space="preserve"> across multiple shipments.</t>
    </r>
  </si>
  <si>
    <t>Sample Dataset: Supplier Delivery Performance</t>
  </si>
  <si>
    <t>SHP-101</t>
  </si>
  <si>
    <t>TechFlow Inc.</t>
  </si>
  <si>
    <t>SHP-102</t>
  </si>
  <si>
    <t>SHP-103</t>
  </si>
  <si>
    <t>On Time</t>
  </si>
  <si>
    <t>SHP-104</t>
  </si>
  <si>
    <t>SHP-105</t>
  </si>
  <si>
    <t>SHP-106</t>
  </si>
  <si>
    <t>Global Logistics</t>
  </si>
  <si>
    <t>SHP-107</t>
  </si>
  <si>
    <t>SHP-108</t>
  </si>
  <si>
    <t>SHP-109</t>
  </si>
  <si>
    <t>SHP-110</t>
  </si>
  <si>
    <t>Avg_lead_time</t>
  </si>
  <si>
    <t>Standard deviation</t>
  </si>
  <si>
    <t>Calculate Squared Deviations</t>
  </si>
  <si>
    <t>Shipment_ID</t>
  </si>
  <si>
    <t>Supplier_Name</t>
  </si>
  <si>
    <t>Actual_Lead_Time_Days</t>
  </si>
  <si>
    <t>Variance_Days</t>
  </si>
  <si>
    <t>Promised_Lead_Time_Days</t>
  </si>
  <si>
    <t>Perfect Order?</t>
  </si>
  <si>
    <t>ORD-001</t>
  </si>
  <si>
    <t>Yes</t>
  </si>
  <si>
    <t>ORD-002</t>
  </si>
  <si>
    <t>No (Damage)</t>
  </si>
  <si>
    <t>ORD-003</t>
  </si>
  <si>
    <t>No (Shortage)</t>
  </si>
  <si>
    <t>ORD-004</t>
  </si>
  <si>
    <t>ORD-005</t>
  </si>
  <si>
    <t>No (Late)</t>
  </si>
  <si>
    <t>ORD-006</t>
  </si>
  <si>
    <t>ORD-007</t>
  </si>
  <si>
    <t>ORD-008</t>
  </si>
  <si>
    <t>No (Wrong Invoice)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</si>
  <si>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</si>
  <si>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</si>
  <si>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</si>
  <si>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</si>
  <si>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</si>
  <si>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</si>
  <si>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</si>
  <si>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</si>
  <si>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</si>
  <si>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</si>
  <si>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</si>
  <si>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</si>
  <si>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</si>
  <si>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</si>
  <si>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</si>
  <si>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No (Wrong Label)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</si>
  <si>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</si>
  <si>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</si>
  <si>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</si>
  <si>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</si>
  <si>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</si>
  <si>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</si>
  <si>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</si>
  <si>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</si>
  <si>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</si>
  <si>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</si>
  <si>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</si>
  <si>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</si>
  <si>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</si>
  <si>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</si>
  <si>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</si>
  <si>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</si>
  <si>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</si>
  <si>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</si>
  <si>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</si>
  <si>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</si>
  <si>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No (Wrong SKU)</t>
  </si>
  <si>
    <t>ORD-044</t>
  </si>
  <si>
    <t>ORD-045</t>
  </si>
  <si>
    <t>ORD-046</t>
  </si>
  <si>
    <t>ORD-047</t>
  </si>
  <si>
    <t>ORD-048</t>
  </si>
  <si>
    <t>ORD-049</t>
  </si>
  <si>
    <t>ORD-050</t>
  </si>
  <si>
    <t>Delivered On-Time? Rate</t>
  </si>
  <si>
    <t>Delivered In-Full? Rate</t>
  </si>
  <si>
    <t>Error-Free? Rate</t>
  </si>
  <si>
    <t>Delivered_In_Full?</t>
  </si>
  <si>
    <t>Error_Free?</t>
  </si>
  <si>
    <t>Delivered_On_Time?</t>
  </si>
  <si>
    <t>Consumer Electronics</t>
  </si>
  <si>
    <t>Perishable Goods</t>
  </si>
  <si>
    <t>Raw Steel</t>
  </si>
  <si>
    <t>Apparel/Fashion</t>
  </si>
  <si>
    <t>Pharmaceuticals</t>
  </si>
  <si>
    <t>Frozen Foods</t>
  </si>
  <si>
    <t>Bulk Chemicals</t>
  </si>
  <si>
    <t>Total_Holding_Cost</t>
  </si>
  <si>
    <t>Service_Costs_Ins_Taxes</t>
  </si>
  <si>
    <t>Risk_Costs_Shrink_Obsol</t>
  </si>
  <si>
    <t>Capital_Costs_Interest_Opp</t>
  </si>
  <si>
    <t>Storage_Costs_Rent_Utils</t>
  </si>
  <si>
    <t>Holding Cost Ratio</t>
  </si>
  <si>
    <t>Average</t>
  </si>
  <si>
    <t>High (Risk)</t>
  </si>
  <si>
    <t>Efficient</t>
  </si>
  <si>
    <t>High (Style Risk)</t>
  </si>
  <si>
    <t>Good</t>
  </si>
  <si>
    <t>Very High</t>
  </si>
  <si>
    <t>Above Average</t>
  </si>
  <si>
    <t>Formula = (Total Holding Cost / Total Inventory Value) * 100</t>
  </si>
  <si>
    <t>Total_Inventory_Value</t>
  </si>
  <si>
    <t>17. Perfect Order Rate Evaluation Data</t>
  </si>
  <si>
    <t>18. Holding Cost Breakdown by Sub-Category</t>
  </si>
  <si>
    <t>1. Inventory Turnover Ratio &amp; 2. Days Sales of Inventory (DSI)</t>
  </si>
  <si>
    <t>Final Master Dashboard (With Results)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</si>
</sst>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0.0%"/>
    <numFmt numFmtId="168" formatCode="0.000"/>
    <numFmt numFmtId="169" formatCode="0_);\(0\)"/>
    <numFmt numFmtId="170" formatCode="_-[$$-409]* #,##0.00_ ;_-[$$-409]* \-#,##0.00\ ;_-[$$-409]* &quot;-&quot;??_ ;_-@_ "/>
    <numFmt numFmtId="171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Google Sans Text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2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5" fontId="0" fillId="0" borderId="1" xfId="0" applyNumberFormat="1" applyBorder="1"/>
    <xf numFmtId="9" fontId="0" fillId="0" borderId="1" xfId="1" applyFont="1" applyBorder="1"/>
    <xf numFmtId="0" fontId="1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1" fillId="6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/>
    <xf numFmtId="9" fontId="2" fillId="0" borderId="1" xfId="1" applyFont="1" applyBorder="1" applyAlignment="1">
      <alignment vertical="center"/>
    </xf>
    <xf numFmtId="0" fontId="1" fillId="2" borderId="1" xfId="0" applyFont="1" applyFill="1" applyBorder="1"/>
    <xf numFmtId="9" fontId="0" fillId="0" borderId="1" xfId="0" applyNumberFormat="1" applyBorder="1"/>
    <xf numFmtId="167" fontId="0" fillId="0" borderId="1" xfId="0" applyNumberFormat="1" applyBorder="1"/>
    <xf numFmtId="0" fontId="1" fillId="5" borderId="2" xfId="0" applyFont="1" applyFill="1" applyBorder="1"/>
    <xf numFmtId="14" fontId="0" fillId="0" borderId="1" xfId="0" applyNumberFormat="1" applyBorder="1"/>
    <xf numFmtId="0" fontId="8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165" fontId="7" fillId="0" borderId="1" xfId="0" applyNumberFormat="1" applyFont="1" applyBorder="1" applyAlignment="1">
      <alignment horizontal="left" vertical="center" wrapText="1" indent="1" readingOrder="1"/>
    </xf>
    <xf numFmtId="0" fontId="1" fillId="5" borderId="0" xfId="0" applyFont="1" applyFill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/>
    </xf>
    <xf numFmtId="0" fontId="9" fillId="5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168" fontId="0" fillId="0" borderId="0" xfId="0" applyNumberFormat="1"/>
    <xf numFmtId="0" fontId="3" fillId="0" borderId="1" xfId="0" applyNumberFormat="1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1" fontId="2" fillId="0" borderId="1" xfId="0" applyNumberFormat="1" applyFont="1" applyFill="1" applyBorder="1" applyAlignment="1">
      <alignment vertical="center"/>
    </xf>
    <xf numFmtId="0" fontId="0" fillId="0" borderId="0" xfId="0" applyFill="1"/>
    <xf numFmtId="169" fontId="3" fillId="0" borderId="1" xfId="0" applyNumberFormat="1" applyFont="1" applyBorder="1" applyAlignment="1">
      <alignment vertical="center" wrapText="1"/>
    </xf>
    <xf numFmtId="169" fontId="2" fillId="0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1" fillId="0" borderId="0" xfId="0" applyFont="1"/>
    <xf numFmtId="0" fontId="9" fillId="0" borderId="0" xfId="0" applyFont="1" applyAlignment="1">
      <alignment vertical="center"/>
    </xf>
    <xf numFmtId="10" fontId="3" fillId="0" borderId="1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2" fontId="0" fillId="0" borderId="1" xfId="0" applyNumberFormat="1" applyBorder="1"/>
    <xf numFmtId="0" fontId="0" fillId="0" borderId="0" xfId="0" applyNumberFormat="1"/>
    <xf numFmtId="2" fontId="0" fillId="0" borderId="0" xfId="0" applyNumberFormat="1"/>
    <xf numFmtId="0" fontId="2" fillId="0" borderId="1" xfId="2" applyNumberFormat="1" applyFont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0" fillId="5" borderId="2" xfId="0" applyFill="1" applyBorder="1"/>
    <xf numFmtId="10" fontId="2" fillId="0" borderId="1" xfId="0" applyNumberFormat="1" applyFont="1" applyBorder="1" applyAlignment="1">
      <alignment vertical="center" wrapText="1"/>
    </xf>
    <xf numFmtId="10" fontId="0" fillId="0" borderId="0" xfId="1" applyNumberFormat="1" applyFont="1"/>
    <xf numFmtId="0" fontId="3" fillId="3" borderId="1" xfId="0" applyFont="1" applyFill="1" applyBorder="1" applyAlignment="1">
      <alignment vertical="center" wrapText="1"/>
    </xf>
    <xf numFmtId="3" fontId="0" fillId="0" borderId="0" xfId="0" applyNumberFormat="1"/>
    <xf numFmtId="0" fontId="10" fillId="5" borderId="2" xfId="0" applyFont="1" applyFill="1" applyBorder="1"/>
    <xf numFmtId="3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10" fontId="0" fillId="0" borderId="0" xfId="0" applyNumberFormat="1"/>
    <xf numFmtId="18" fontId="2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9" fontId="2" fillId="0" borderId="0" xfId="0" applyNumberFormat="1" applyFont="1" applyAlignment="1">
      <alignment vertical="center"/>
    </xf>
    <xf numFmtId="0" fontId="0" fillId="0" borderId="1" xfId="0" applyBorder="1"/>
    <xf numFmtId="10" fontId="0" fillId="0" borderId="1" xfId="0" applyNumberFormat="1" applyBorder="1"/>
    <xf numFmtId="0" fontId="3" fillId="5" borderId="0" xfId="0" applyFont="1" applyFill="1" applyBorder="1" applyAlignment="1">
      <alignment vertical="center" wrapText="1"/>
    </xf>
    <xf numFmtId="170" fontId="2" fillId="0" borderId="1" xfId="3" applyNumberFormat="1" applyFont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170" fontId="2" fillId="10" borderId="1" xfId="3" applyNumberFormat="1" applyFont="1" applyFill="1" applyBorder="1" applyAlignment="1">
      <alignment vertical="center" wrapText="1"/>
    </xf>
    <xf numFmtId="2" fontId="3" fillId="1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0" fillId="6" borderId="0" xfId="0" applyFill="1"/>
    <xf numFmtId="0" fontId="1" fillId="2" borderId="1" xfId="0" applyFont="1" applyFill="1" applyBorder="1"/>
    <xf numFmtId="0" fontId="2" fillId="11" borderId="1" xfId="0" applyFont="1" applyFill="1" applyBorder="1" applyAlignment="1">
      <alignment vertical="center" wrapText="1"/>
    </xf>
    <xf numFmtId="0" fontId="0" fillId="11" borderId="0" xfId="0" applyFill="1"/>
    <xf numFmtId="0" fontId="2" fillId="6" borderId="1" xfId="0" applyFont="1" applyFill="1" applyBorder="1" applyAlignment="1">
      <alignment vertical="center" wrapText="1"/>
    </xf>
    <xf numFmtId="0" fontId="0" fillId="10" borderId="1" xfId="0" applyFill="1" applyBorder="1"/>
    <xf numFmtId="0" fontId="3" fillId="11" borderId="1" xfId="0" applyFont="1" applyFill="1" applyBorder="1" applyAlignment="1">
      <alignment vertical="center" wrapText="1"/>
    </xf>
    <xf numFmtId="2" fontId="12" fillId="3" borderId="1" xfId="0" applyNumberFormat="1" applyFont="1" applyFill="1" applyBorder="1"/>
    <xf numFmtId="0" fontId="12" fillId="0" borderId="1" xfId="0" applyFont="1" applyBorder="1"/>
    <xf numFmtId="0" fontId="0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0" fontId="0" fillId="12" borderId="1" xfId="0" applyFill="1" applyBorder="1"/>
    <xf numFmtId="171" fontId="0" fillId="12" borderId="1" xfId="0" applyNumberFormat="1" applyFill="1" applyBorder="1"/>
    <xf numFmtId="9" fontId="0" fillId="0" borderId="0" xfId="1" applyFont="1"/>
    <xf numFmtId="0" fontId="0" fillId="0" borderId="0" xfId="1" applyNumberFormat="1" applyFont="1"/>
    <xf numFmtId="0" fontId="9" fillId="11" borderId="0" xfId="0" applyFont="1" applyFill="1" applyAlignment="1">
      <alignment vertical="center"/>
    </xf>
    <xf numFmtId="0" fontId="2" fillId="0" borderId="1" xfId="2" applyNumberFormat="1" applyFont="1" applyBorder="1" applyAlignment="1">
      <alignment vertical="center"/>
    </xf>
    <xf numFmtId="0" fontId="3" fillId="0" borderId="1" xfId="2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3" fillId="2" borderId="3" xfId="0" applyFont="1" applyFill="1" applyBorder="1" applyAlignment="1">
      <alignment vertical="center"/>
    </xf>
    <xf numFmtId="10" fontId="3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0" fillId="2" borderId="1" xfId="0" applyFill="1" applyBorder="1"/>
    <xf numFmtId="0" fontId="14" fillId="11" borderId="0" xfId="0" applyFont="1" applyFill="1"/>
    <xf numFmtId="0" fontId="15" fillId="11" borderId="0" xfId="0" applyFont="1" applyFill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3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30.7109375" bestFit="1" customWidth="1"/>
    <col min="2" max="2" width="27.7109375" customWidth="1"/>
    <col min="3" max="3" width="26.7109375" bestFit="1" customWidth="1"/>
    <col min="4" max="4" width="24.5703125" bestFit="1" customWidth="1"/>
    <col min="5" max="5" width="28.7109375" bestFit="1" customWidth="1"/>
    <col min="6" max="6" width="40.42578125" customWidth="1"/>
    <col min="7" max="7" width="21.5703125" customWidth="1"/>
    <col min="8" max="8" width="21.140625" customWidth="1"/>
    <col min="9" max="9" width="17.140625" bestFit="1" customWidth="1"/>
    <col min="10" max="11" width="22.140625" bestFit="1" customWidth="1"/>
  </cols>
  <sheetData>
    <row r="1" spans="1:9" ht="18.75" x14ac:dyDescent="0.3">
      <c r="A1" s="123" t="s">
        <v>478</v>
      </c>
      <c r="B1" s="124"/>
      <c r="C1" s="124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15</v>
      </c>
      <c r="G2" s="4" t="s">
        <v>17</v>
      </c>
      <c r="H2" s="4" t="s">
        <v>19</v>
      </c>
      <c r="I2" s="9" t="s">
        <v>28</v>
      </c>
    </row>
    <row r="3" spans="1:9" x14ac:dyDescent="0.25">
      <c r="A3" s="5" t="s">
        <v>5</v>
      </c>
      <c r="B3" s="5" t="s">
        <v>6</v>
      </c>
      <c r="C3" s="5">
        <v>85000</v>
      </c>
      <c r="D3" s="5">
        <v>72000</v>
      </c>
      <c r="E3" s="5">
        <v>450000</v>
      </c>
      <c r="F3" s="5">
        <f>(C3+D3)/2</f>
        <v>78500</v>
      </c>
      <c r="G3" s="6">
        <f>E3/F3</f>
        <v>5.7324840764331206</v>
      </c>
      <c r="H3" s="6">
        <f>365/G3</f>
        <v>63.672222222222224</v>
      </c>
      <c r="I3" s="6" t="str">
        <f>IF(H3 &gt; 100, "OVERSTOCKED", "OPTIMIZED")</f>
        <v>OPTIMIZED</v>
      </c>
    </row>
    <row r="4" spans="1:9" x14ac:dyDescent="0.25">
      <c r="A4" s="5" t="s">
        <v>7</v>
      </c>
      <c r="B4" s="5" t="s">
        <v>8</v>
      </c>
      <c r="C4" s="5">
        <v>40000</v>
      </c>
      <c r="D4" s="5">
        <v>45000</v>
      </c>
      <c r="E4" s="5">
        <v>280000</v>
      </c>
      <c r="F4" s="5">
        <f t="shared" ref="F4:F7" si="0">(C4+D4)/2</f>
        <v>42500</v>
      </c>
      <c r="G4" s="6">
        <f t="shared" ref="G4:G7" si="1">E4/F4</f>
        <v>6.5882352941176467</v>
      </c>
      <c r="H4" s="6">
        <f t="shared" ref="H4:H7" si="2">365/G4</f>
        <v>55.401785714285715</v>
      </c>
      <c r="I4" s="6" t="str">
        <f t="shared" ref="I4:I7" si="3">IF(H4 &gt; 100, "OVERSTOCKED", "OPTIMIZED")</f>
        <v>OPTIMIZED</v>
      </c>
    </row>
    <row r="5" spans="1:9" x14ac:dyDescent="0.25">
      <c r="A5" s="5" t="s">
        <v>9</v>
      </c>
      <c r="B5" s="5" t="s">
        <v>10</v>
      </c>
      <c r="C5" s="5">
        <v>120000</v>
      </c>
      <c r="D5" s="5">
        <v>95000</v>
      </c>
      <c r="E5" s="5">
        <v>850000</v>
      </c>
      <c r="F5" s="5">
        <f t="shared" si="0"/>
        <v>107500</v>
      </c>
      <c r="G5" s="6">
        <f t="shared" si="1"/>
        <v>7.9069767441860463</v>
      </c>
      <c r="H5" s="6">
        <f t="shared" si="2"/>
        <v>46.161764705882355</v>
      </c>
      <c r="I5" s="6" t="str">
        <f t="shared" si="3"/>
        <v>OPTIMIZED</v>
      </c>
    </row>
    <row r="6" spans="1:9" x14ac:dyDescent="0.25">
      <c r="A6" s="5" t="s">
        <v>11</v>
      </c>
      <c r="B6" s="5" t="s">
        <v>12</v>
      </c>
      <c r="C6" s="5">
        <v>15000</v>
      </c>
      <c r="D6" s="5">
        <v>18000</v>
      </c>
      <c r="E6" s="5">
        <v>65000</v>
      </c>
      <c r="F6" s="5">
        <f t="shared" si="0"/>
        <v>16500</v>
      </c>
      <c r="G6" s="6">
        <f t="shared" si="1"/>
        <v>3.9393939393939394</v>
      </c>
      <c r="H6" s="6">
        <f t="shared" si="2"/>
        <v>92.653846153846146</v>
      </c>
      <c r="I6" s="6" t="str">
        <f t="shared" si="3"/>
        <v>OPTIMIZED</v>
      </c>
    </row>
    <row r="7" spans="1:9" x14ac:dyDescent="0.25">
      <c r="A7" s="5" t="s">
        <v>13</v>
      </c>
      <c r="B7" s="5" t="s">
        <v>14</v>
      </c>
      <c r="C7" s="5">
        <v>22000</v>
      </c>
      <c r="D7" s="5">
        <v>21000</v>
      </c>
      <c r="E7" s="5">
        <v>35000</v>
      </c>
      <c r="F7" s="5">
        <f t="shared" si="0"/>
        <v>21500</v>
      </c>
      <c r="G7" s="6">
        <f t="shared" si="1"/>
        <v>1.6279069767441861</v>
      </c>
      <c r="H7" s="6">
        <f t="shared" si="2"/>
        <v>224.21428571428572</v>
      </c>
      <c r="I7" s="6" t="str">
        <f t="shared" si="3"/>
        <v>OVERSTOCKED</v>
      </c>
    </row>
    <row r="8" spans="1:9" x14ac:dyDescent="0.25">
      <c r="F8" s="2" t="s">
        <v>16</v>
      </c>
      <c r="G8" s="2" t="s">
        <v>18</v>
      </c>
      <c r="H8" s="97" t="s">
        <v>148</v>
      </c>
      <c r="I8" s="122"/>
    </row>
    <row r="11" spans="1:9" x14ac:dyDescent="0.25">
      <c r="A11" s="8" t="s">
        <v>20</v>
      </c>
      <c r="B11" s="3" t="s">
        <v>2</v>
      </c>
      <c r="C11" s="3" t="s">
        <v>21</v>
      </c>
      <c r="D11" s="3" t="s">
        <v>3</v>
      </c>
      <c r="E11" s="2" t="s">
        <v>27</v>
      </c>
    </row>
    <row r="12" spans="1:9" x14ac:dyDescent="0.25">
      <c r="A12" s="7" t="s">
        <v>22</v>
      </c>
      <c r="B12" s="1">
        <v>50000</v>
      </c>
      <c r="C12" s="1">
        <v>120000</v>
      </c>
      <c r="D12" s="1">
        <v>45000</v>
      </c>
      <c r="E12" s="1">
        <f xml:space="preserve"> B12 + C12 - D12</f>
        <v>125000</v>
      </c>
    </row>
    <row r="13" spans="1:9" x14ac:dyDescent="0.25">
      <c r="A13" s="7" t="s">
        <v>23</v>
      </c>
      <c r="B13" s="1">
        <v>45000</v>
      </c>
      <c r="C13" s="1">
        <v>110000</v>
      </c>
      <c r="D13" s="1">
        <v>48000</v>
      </c>
      <c r="E13" s="1">
        <f t="shared" ref="E13:E16" si="4" xml:space="preserve"> B13 + C13 - D13</f>
        <v>107000</v>
      </c>
    </row>
    <row r="14" spans="1:9" x14ac:dyDescent="0.25">
      <c r="A14" s="7" t="s">
        <v>24</v>
      </c>
      <c r="B14" s="1">
        <v>48000</v>
      </c>
      <c r="C14" s="1">
        <v>140000</v>
      </c>
      <c r="D14" s="1">
        <v>42000</v>
      </c>
      <c r="E14" s="1">
        <f t="shared" si="4"/>
        <v>146000</v>
      </c>
    </row>
    <row r="15" spans="1:9" x14ac:dyDescent="0.25">
      <c r="A15" s="7" t="s">
        <v>25</v>
      </c>
      <c r="B15" s="1">
        <v>42000</v>
      </c>
      <c r="C15" s="1">
        <v>115000</v>
      </c>
      <c r="D15" s="1">
        <v>50000</v>
      </c>
      <c r="E15" s="1">
        <f t="shared" si="4"/>
        <v>107000</v>
      </c>
    </row>
    <row r="16" spans="1:9" x14ac:dyDescent="0.25">
      <c r="A16" s="7" t="s">
        <v>26</v>
      </c>
      <c r="B16" s="1">
        <v>50000</v>
      </c>
      <c r="C16" s="1">
        <v>130000</v>
      </c>
      <c r="D16" s="1">
        <v>47000</v>
      </c>
      <c r="E16" s="1">
        <f t="shared" si="4"/>
        <v>133000</v>
      </c>
    </row>
    <row r="17" spans="1:8" x14ac:dyDescent="0.25">
      <c r="A17" s="2" t="s">
        <v>4</v>
      </c>
    </row>
    <row r="19" spans="1:8" x14ac:dyDescent="0.25">
      <c r="A19" s="3" t="s">
        <v>479</v>
      </c>
      <c r="B19" s="15"/>
    </row>
    <row r="21" spans="1:8" x14ac:dyDescent="0.25">
      <c r="A21" s="12" t="s">
        <v>29</v>
      </c>
      <c r="B21" s="12" t="s">
        <v>4</v>
      </c>
      <c r="C21" s="12" t="s">
        <v>30</v>
      </c>
      <c r="D21" s="12" t="s">
        <v>17</v>
      </c>
      <c r="E21" s="12" t="s">
        <v>31</v>
      </c>
      <c r="F21" s="12" t="s">
        <v>32</v>
      </c>
    </row>
    <row r="22" spans="1:8" x14ac:dyDescent="0.25">
      <c r="A22" s="10" t="s">
        <v>33</v>
      </c>
      <c r="B22" s="11">
        <v>127000</v>
      </c>
      <c r="C22" s="11">
        <v>41500</v>
      </c>
      <c r="D22" s="10">
        <v>3.06</v>
      </c>
      <c r="E22" s="10">
        <v>119</v>
      </c>
      <c r="F22" s="10" t="str">
        <f>IF(E22 &gt; 100, "OVERSTOCKED", "OPTIMIZED")</f>
        <v>OVERSTOCKED</v>
      </c>
    </row>
    <row r="23" spans="1:8" x14ac:dyDescent="0.25">
      <c r="A23" s="10" t="s">
        <v>34</v>
      </c>
      <c r="B23" s="11">
        <v>42000</v>
      </c>
      <c r="C23" s="11">
        <v>13500</v>
      </c>
      <c r="D23" s="10">
        <v>3.11</v>
      </c>
      <c r="E23" s="10">
        <v>117</v>
      </c>
      <c r="F23" s="10" t="str">
        <f t="shared" ref="F23:F26" si="5">IF(E23 &gt; 100, "OVERSTOCKED", "OPTIMIZED")</f>
        <v>OVERSTOCKED</v>
      </c>
    </row>
    <row r="24" spans="1:8" x14ac:dyDescent="0.25">
      <c r="A24" s="10" t="s">
        <v>35</v>
      </c>
      <c r="B24" s="11">
        <v>22500</v>
      </c>
      <c r="C24" s="11">
        <v>7750</v>
      </c>
      <c r="D24" s="13">
        <v>2.9</v>
      </c>
      <c r="E24" s="10">
        <v>126</v>
      </c>
      <c r="F24" s="10" t="str">
        <f t="shared" si="5"/>
        <v>OVERSTOCKED</v>
      </c>
    </row>
    <row r="25" spans="1:8" x14ac:dyDescent="0.25">
      <c r="A25" s="10" t="s">
        <v>36</v>
      </c>
      <c r="B25" s="11">
        <v>18800</v>
      </c>
      <c r="C25" s="11">
        <v>4600</v>
      </c>
      <c r="D25" s="10">
        <v>4.09</v>
      </c>
      <c r="E25" s="10">
        <v>89</v>
      </c>
      <c r="F25" s="10" t="str">
        <f t="shared" si="5"/>
        <v>OPTIMIZED</v>
      </c>
    </row>
    <row r="26" spans="1:8" x14ac:dyDescent="0.25">
      <c r="A26" s="10" t="s">
        <v>37</v>
      </c>
      <c r="B26" s="11">
        <v>88000</v>
      </c>
      <c r="C26" s="11">
        <v>23500</v>
      </c>
      <c r="D26" s="10">
        <v>3.74</v>
      </c>
      <c r="E26" s="10">
        <v>97</v>
      </c>
      <c r="F26" s="10" t="str">
        <f t="shared" si="5"/>
        <v>OPTIMIZED</v>
      </c>
    </row>
    <row r="29" spans="1:8" x14ac:dyDescent="0.25">
      <c r="A29" s="18" t="s">
        <v>66</v>
      </c>
      <c r="B29" s="19"/>
      <c r="C29" s="20"/>
      <c r="D29" s="20"/>
    </row>
    <row r="30" spans="1:8" x14ac:dyDescent="0.25">
      <c r="A30" s="2" t="s">
        <v>47</v>
      </c>
      <c r="B30" s="2" t="s">
        <v>44</v>
      </c>
      <c r="C30" s="2" t="s">
        <v>48</v>
      </c>
      <c r="D30" s="2" t="s">
        <v>49</v>
      </c>
      <c r="E30" s="21" t="s">
        <v>46</v>
      </c>
      <c r="F30" s="21" t="s">
        <v>38</v>
      </c>
      <c r="G30" s="21" t="s">
        <v>39</v>
      </c>
      <c r="H30" s="21" t="s">
        <v>40</v>
      </c>
    </row>
    <row r="31" spans="1:8" x14ac:dyDescent="0.25">
      <c r="A31" s="1" t="s">
        <v>50</v>
      </c>
      <c r="B31" s="16" t="s">
        <v>51</v>
      </c>
      <c r="C31" s="1">
        <v>15</v>
      </c>
      <c r="D31" s="1">
        <v>50</v>
      </c>
      <c r="E31" s="1">
        <v>50</v>
      </c>
      <c r="F31" s="1">
        <f t="shared" ref="F31:F40" si="6">E31-D31</f>
        <v>0</v>
      </c>
      <c r="G31" s="1" t="str">
        <f t="shared" ref="G31:G40" si="7">IF(E31=D31, "ACCURATE", "MISMATCH")</f>
        <v>ACCURATE</v>
      </c>
      <c r="H31" s="17">
        <f>COUNTIF(G31:G40, "ACCURATE") / COUNTA(A30:A39)</f>
        <v>0.6</v>
      </c>
    </row>
    <row r="32" spans="1:8" x14ac:dyDescent="0.25">
      <c r="A32" s="1" t="s">
        <v>52</v>
      </c>
      <c r="B32" s="16" t="s">
        <v>53</v>
      </c>
      <c r="C32" s="1">
        <v>200</v>
      </c>
      <c r="D32" s="1">
        <v>10</v>
      </c>
      <c r="E32" s="1">
        <v>9</v>
      </c>
      <c r="F32" s="1">
        <f t="shared" si="6"/>
        <v>-1</v>
      </c>
      <c r="G32" s="1" t="str">
        <f t="shared" si="7"/>
        <v>MISMATCH</v>
      </c>
      <c r="H32" s="1">
        <f>COUNTIF(G31:G40, "ACCURATE")</f>
        <v>6</v>
      </c>
    </row>
    <row r="33" spans="1:8" x14ac:dyDescent="0.25">
      <c r="A33" s="1" t="s">
        <v>54</v>
      </c>
      <c r="B33" s="1" t="s">
        <v>51</v>
      </c>
      <c r="C33" s="1">
        <v>5.5</v>
      </c>
      <c r="D33" s="1">
        <v>100</v>
      </c>
      <c r="E33" s="1">
        <v>105</v>
      </c>
      <c r="F33" s="1">
        <f t="shared" si="6"/>
        <v>5</v>
      </c>
      <c r="G33" s="1" t="str">
        <f t="shared" si="7"/>
        <v>MISMATCH</v>
      </c>
      <c r="H33" s="17"/>
    </row>
    <row r="34" spans="1:8" x14ac:dyDescent="0.25">
      <c r="A34" s="1" t="s">
        <v>55</v>
      </c>
      <c r="B34" s="1" t="s">
        <v>56</v>
      </c>
      <c r="C34" s="1">
        <v>45</v>
      </c>
      <c r="D34" s="1">
        <v>25</v>
      </c>
      <c r="E34" s="1">
        <v>25</v>
      </c>
      <c r="F34" s="1">
        <f t="shared" si="6"/>
        <v>0</v>
      </c>
      <c r="G34" s="1" t="str">
        <f t="shared" si="7"/>
        <v>ACCURATE</v>
      </c>
      <c r="H34" s="17"/>
    </row>
    <row r="35" spans="1:8" x14ac:dyDescent="0.25">
      <c r="A35" s="1" t="s">
        <v>57</v>
      </c>
      <c r="B35" s="1" t="s">
        <v>58</v>
      </c>
      <c r="C35" s="1">
        <v>12</v>
      </c>
      <c r="D35" s="1">
        <v>80</v>
      </c>
      <c r="E35" s="1">
        <v>80</v>
      </c>
      <c r="F35" s="1">
        <f t="shared" si="6"/>
        <v>0</v>
      </c>
      <c r="G35" s="1" t="str">
        <f t="shared" si="7"/>
        <v>ACCURATE</v>
      </c>
      <c r="H35" s="17"/>
    </row>
    <row r="36" spans="1:8" x14ac:dyDescent="0.25">
      <c r="A36" s="1" t="s">
        <v>59</v>
      </c>
      <c r="B36" s="1" t="s">
        <v>60</v>
      </c>
      <c r="C36" s="1">
        <v>30</v>
      </c>
      <c r="D36" s="1">
        <v>40</v>
      </c>
      <c r="E36" s="1">
        <v>38</v>
      </c>
      <c r="F36" s="1">
        <f t="shared" si="6"/>
        <v>-2</v>
      </c>
      <c r="G36" s="1" t="str">
        <f t="shared" si="7"/>
        <v>MISMATCH</v>
      </c>
      <c r="H36" s="17"/>
    </row>
    <row r="37" spans="1:8" x14ac:dyDescent="0.25">
      <c r="A37" s="1" t="s">
        <v>61</v>
      </c>
      <c r="B37" s="1" t="s">
        <v>62</v>
      </c>
      <c r="C37" s="1">
        <v>150</v>
      </c>
      <c r="D37" s="1">
        <v>5</v>
      </c>
      <c r="E37" s="1">
        <v>5</v>
      </c>
      <c r="F37" s="1">
        <f t="shared" si="6"/>
        <v>0</v>
      </c>
      <c r="G37" s="1" t="str">
        <f t="shared" si="7"/>
        <v>ACCURATE</v>
      </c>
      <c r="H37" s="17"/>
    </row>
    <row r="38" spans="1:8" x14ac:dyDescent="0.25">
      <c r="A38" s="1" t="s">
        <v>63</v>
      </c>
      <c r="B38" s="1" t="s">
        <v>53</v>
      </c>
      <c r="C38" s="1">
        <v>8</v>
      </c>
      <c r="D38" s="1">
        <v>200</v>
      </c>
      <c r="E38" s="1">
        <v>200</v>
      </c>
      <c r="F38" s="1">
        <f t="shared" si="6"/>
        <v>0</v>
      </c>
      <c r="G38" s="1" t="str">
        <f t="shared" si="7"/>
        <v>ACCURATE</v>
      </c>
      <c r="H38" s="17"/>
    </row>
    <row r="39" spans="1:8" x14ac:dyDescent="0.25">
      <c r="A39" s="1" t="s">
        <v>64</v>
      </c>
      <c r="B39" s="1" t="s">
        <v>56</v>
      </c>
      <c r="C39" s="1">
        <v>60</v>
      </c>
      <c r="D39" s="1">
        <v>15</v>
      </c>
      <c r="E39" s="1">
        <v>14</v>
      </c>
      <c r="F39" s="1">
        <f t="shared" si="6"/>
        <v>-1</v>
      </c>
      <c r="G39" s="1" t="str">
        <f t="shared" si="7"/>
        <v>MISMATCH</v>
      </c>
      <c r="H39" s="17"/>
    </row>
    <row r="40" spans="1:8" x14ac:dyDescent="0.25">
      <c r="A40" s="1" t="s">
        <v>65</v>
      </c>
      <c r="B40" s="1" t="s">
        <v>51</v>
      </c>
      <c r="C40" s="16">
        <v>22</v>
      </c>
      <c r="D40" s="1">
        <v>60</v>
      </c>
      <c r="E40" s="1">
        <v>60</v>
      </c>
      <c r="F40" s="1">
        <f t="shared" si="6"/>
        <v>0</v>
      </c>
      <c r="G40" s="1" t="str">
        <f t="shared" si="7"/>
        <v>ACCURATE</v>
      </c>
      <c r="H40" s="17"/>
    </row>
    <row r="42" spans="1:8" x14ac:dyDescent="0.25">
      <c r="A42" s="18" t="s">
        <v>67</v>
      </c>
    </row>
    <row r="43" spans="1:8" x14ac:dyDescent="0.25">
      <c r="A43" s="2" t="s">
        <v>41</v>
      </c>
      <c r="B43" s="2" t="s">
        <v>42</v>
      </c>
      <c r="C43" s="117" t="s">
        <v>43</v>
      </c>
      <c r="D43" s="117"/>
      <c r="E43" s="117"/>
      <c r="F43" s="117"/>
    </row>
    <row r="44" spans="1:8" x14ac:dyDescent="0.25">
      <c r="A44" s="1" t="s">
        <v>68</v>
      </c>
      <c r="B44" s="1" t="s">
        <v>69</v>
      </c>
      <c r="C44" s="118" t="s">
        <v>70</v>
      </c>
      <c r="D44" s="118"/>
      <c r="E44" s="118"/>
      <c r="F44" s="118"/>
    </row>
    <row r="45" spans="1:8" x14ac:dyDescent="0.25">
      <c r="A45" s="1" t="s">
        <v>71</v>
      </c>
      <c r="B45" s="1" t="s">
        <v>72</v>
      </c>
      <c r="C45" s="118" t="s">
        <v>73</v>
      </c>
      <c r="D45" s="118"/>
      <c r="E45" s="118"/>
      <c r="F45" s="118"/>
    </row>
    <row r="46" spans="1:8" x14ac:dyDescent="0.25">
      <c r="A46" s="1" t="s">
        <v>74</v>
      </c>
      <c r="B46" s="1" t="s">
        <v>75</v>
      </c>
      <c r="C46" s="118" t="s">
        <v>76</v>
      </c>
      <c r="D46" s="118"/>
      <c r="E46" s="118"/>
      <c r="F46" s="118"/>
    </row>
    <row r="47" spans="1:8" x14ac:dyDescent="0.25">
      <c r="A47" s="1" t="s">
        <v>77</v>
      </c>
      <c r="B47" s="1" t="s">
        <v>45</v>
      </c>
      <c r="C47" s="118" t="s">
        <v>78</v>
      </c>
      <c r="D47" s="118"/>
      <c r="E47" s="118"/>
      <c r="F47" s="118"/>
    </row>
    <row r="48" spans="1:8" x14ac:dyDescent="0.25">
      <c r="A48" s="1" t="s">
        <v>79</v>
      </c>
      <c r="B48" s="1" t="s">
        <v>80</v>
      </c>
      <c r="C48" s="118" t="s">
        <v>81</v>
      </c>
      <c r="D48" s="118"/>
      <c r="E48" s="118"/>
      <c r="F48" s="118"/>
    </row>
    <row r="51" spans="1:7" x14ac:dyDescent="0.25">
      <c r="A51" s="2" t="s">
        <v>105</v>
      </c>
      <c r="B51" s="2" t="s">
        <v>82</v>
      </c>
      <c r="C51" s="2" t="s">
        <v>106</v>
      </c>
      <c r="D51" s="2" t="s">
        <v>107</v>
      </c>
      <c r="E51" s="2" t="s">
        <v>110</v>
      </c>
      <c r="F51" s="23" t="s">
        <v>108</v>
      </c>
      <c r="G51" s="23" t="s">
        <v>109</v>
      </c>
    </row>
    <row r="52" spans="1:7" x14ac:dyDescent="0.25">
      <c r="A52" s="1" t="s">
        <v>83</v>
      </c>
      <c r="B52" s="1" t="s">
        <v>84</v>
      </c>
      <c r="C52" s="1" t="s">
        <v>33</v>
      </c>
      <c r="D52" s="1" t="s">
        <v>85</v>
      </c>
      <c r="E52" s="1">
        <v>0</v>
      </c>
      <c r="F52" s="26">
        <f>AVERAGEIF($C$52:$C$61, C52, $E$52:$E$61)</f>
        <v>0.5</v>
      </c>
      <c r="G52" s="17">
        <f>(COUNTIF(D52:D61,"stockout"))/(COUNTA(D52:D61))</f>
        <v>0.3</v>
      </c>
    </row>
    <row r="53" spans="1:7" x14ac:dyDescent="0.25">
      <c r="A53" s="1" t="s">
        <v>86</v>
      </c>
      <c r="B53" s="1" t="s">
        <v>87</v>
      </c>
      <c r="C53" s="1" t="s">
        <v>35</v>
      </c>
      <c r="D53" s="1" t="s">
        <v>88</v>
      </c>
      <c r="E53" s="1">
        <v>1</v>
      </c>
      <c r="F53" s="26">
        <f t="shared" ref="F53:F61" si="8">AVERAGEIF($C$52:$C$61, C53, $E$52:$E$61)</f>
        <v>0.5</v>
      </c>
      <c r="G53" s="22"/>
    </row>
    <row r="54" spans="1:7" x14ac:dyDescent="0.25">
      <c r="A54" s="1" t="s">
        <v>89</v>
      </c>
      <c r="B54" s="1" t="s">
        <v>90</v>
      </c>
      <c r="C54" s="1" t="s">
        <v>36</v>
      </c>
      <c r="D54" s="1" t="s">
        <v>85</v>
      </c>
      <c r="E54" s="1">
        <v>0</v>
      </c>
      <c r="F54" s="26">
        <f t="shared" si="8"/>
        <v>0</v>
      </c>
      <c r="G54" s="22"/>
    </row>
    <row r="55" spans="1:7" x14ac:dyDescent="0.25">
      <c r="A55" s="1" t="s">
        <v>91</v>
      </c>
      <c r="B55" s="1" t="s">
        <v>92</v>
      </c>
      <c r="C55" s="1" t="s">
        <v>34</v>
      </c>
      <c r="D55" s="1" t="s">
        <v>85</v>
      </c>
      <c r="E55" s="1">
        <v>0</v>
      </c>
      <c r="F55" s="26">
        <f t="shared" si="8"/>
        <v>0.5</v>
      </c>
      <c r="G55" s="22"/>
    </row>
    <row r="56" spans="1:7" x14ac:dyDescent="0.25">
      <c r="A56" s="1" t="s">
        <v>93</v>
      </c>
      <c r="B56" s="1" t="s">
        <v>94</v>
      </c>
      <c r="C56" s="1" t="s">
        <v>33</v>
      </c>
      <c r="D56" s="1" t="s">
        <v>88</v>
      </c>
      <c r="E56" s="1">
        <v>1</v>
      </c>
      <c r="F56" s="26">
        <f t="shared" si="8"/>
        <v>0.5</v>
      </c>
      <c r="G56" s="22"/>
    </row>
    <row r="57" spans="1:7" x14ac:dyDescent="0.25">
      <c r="A57" s="1" t="s">
        <v>95</v>
      </c>
      <c r="B57" s="1" t="s">
        <v>96</v>
      </c>
      <c r="C57" s="1" t="s">
        <v>37</v>
      </c>
      <c r="D57" s="1" t="s">
        <v>85</v>
      </c>
      <c r="E57" s="1">
        <v>0</v>
      </c>
      <c r="F57" s="26">
        <f t="shared" si="8"/>
        <v>0</v>
      </c>
      <c r="G57" s="22"/>
    </row>
    <row r="58" spans="1:7" x14ac:dyDescent="0.25">
      <c r="A58" s="1" t="s">
        <v>97</v>
      </c>
      <c r="B58" s="1" t="s">
        <v>98</v>
      </c>
      <c r="C58" s="1" t="s">
        <v>35</v>
      </c>
      <c r="D58" s="1" t="s">
        <v>85</v>
      </c>
      <c r="E58" s="1">
        <v>0</v>
      </c>
      <c r="F58" s="26">
        <f t="shared" si="8"/>
        <v>0.5</v>
      </c>
      <c r="G58" s="22"/>
    </row>
    <row r="59" spans="1:7" x14ac:dyDescent="0.25">
      <c r="A59" s="1" t="s">
        <v>99</v>
      </c>
      <c r="B59" s="1" t="s">
        <v>100</v>
      </c>
      <c r="C59" s="1" t="s">
        <v>34</v>
      </c>
      <c r="D59" s="1" t="s">
        <v>88</v>
      </c>
      <c r="E59" s="1">
        <v>1</v>
      </c>
      <c r="F59" s="26">
        <f t="shared" si="8"/>
        <v>0.5</v>
      </c>
      <c r="G59" s="22"/>
    </row>
    <row r="60" spans="1:7" x14ac:dyDescent="0.25">
      <c r="A60" s="1" t="s">
        <v>101</v>
      </c>
      <c r="B60" s="1" t="s">
        <v>102</v>
      </c>
      <c r="C60" s="1" t="s">
        <v>36</v>
      </c>
      <c r="D60" s="1" t="s">
        <v>85</v>
      </c>
      <c r="E60" s="1">
        <v>0</v>
      </c>
      <c r="F60" s="26">
        <f t="shared" si="8"/>
        <v>0</v>
      </c>
      <c r="G60" s="22"/>
    </row>
    <row r="61" spans="1:7" x14ac:dyDescent="0.25">
      <c r="A61" s="1" t="s">
        <v>103</v>
      </c>
      <c r="B61" s="1" t="s">
        <v>104</v>
      </c>
      <c r="C61" s="1" t="s">
        <v>37</v>
      </c>
      <c r="D61" s="1" t="s">
        <v>85</v>
      </c>
      <c r="E61" s="1">
        <v>0</v>
      </c>
      <c r="F61" s="26">
        <f t="shared" si="8"/>
        <v>0</v>
      </c>
      <c r="G61" s="22"/>
    </row>
    <row r="63" spans="1:7" x14ac:dyDescent="0.25">
      <c r="A63" s="18" t="s">
        <v>118</v>
      </c>
    </row>
    <row r="64" spans="1:7" x14ac:dyDescent="0.25">
      <c r="A64" s="25" t="s">
        <v>106</v>
      </c>
      <c r="B64" s="25" t="s">
        <v>111</v>
      </c>
      <c r="C64" s="25" t="s">
        <v>112</v>
      </c>
      <c r="D64" s="25" t="s">
        <v>113</v>
      </c>
      <c r="E64" s="25" t="s">
        <v>114</v>
      </c>
    </row>
    <row r="65" spans="1:5" x14ac:dyDescent="0.25">
      <c r="A65" s="24" t="s">
        <v>115</v>
      </c>
      <c r="B65" s="24">
        <v>50</v>
      </c>
      <c r="C65" s="24">
        <v>48</v>
      </c>
      <c r="D65" s="24">
        <v>-2</v>
      </c>
      <c r="E65" s="28">
        <f>C65/B65</f>
        <v>0.96</v>
      </c>
    </row>
    <row r="66" spans="1:5" x14ac:dyDescent="0.25">
      <c r="A66" s="24" t="s">
        <v>116</v>
      </c>
      <c r="B66" s="24">
        <v>120</v>
      </c>
      <c r="C66" s="24">
        <v>120</v>
      </c>
      <c r="D66" s="24">
        <v>0</v>
      </c>
      <c r="E66" s="28">
        <f t="shared" ref="E66:E67" si="9">C66/B66</f>
        <v>1</v>
      </c>
    </row>
    <row r="67" spans="1:5" x14ac:dyDescent="0.25">
      <c r="A67" s="24" t="s">
        <v>117</v>
      </c>
      <c r="B67" s="24">
        <v>85</v>
      </c>
      <c r="C67" s="24">
        <v>80</v>
      </c>
      <c r="D67" s="24">
        <v>-5</v>
      </c>
      <c r="E67" s="29">
        <f t="shared" si="9"/>
        <v>0.94117647058823528</v>
      </c>
    </row>
    <row r="69" spans="1:5" x14ac:dyDescent="0.25">
      <c r="A69" s="30" t="s">
        <v>119</v>
      </c>
    </row>
    <row r="70" spans="1:5" x14ac:dyDescent="0.25">
      <c r="A70" s="25" t="s">
        <v>105</v>
      </c>
      <c r="B70" s="25" t="s">
        <v>106</v>
      </c>
      <c r="C70" s="25" t="s">
        <v>120</v>
      </c>
      <c r="D70" s="25" t="s">
        <v>121</v>
      </c>
      <c r="E70" s="25" t="s">
        <v>122</v>
      </c>
    </row>
    <row r="71" spans="1:5" x14ac:dyDescent="0.25">
      <c r="A71" s="24" t="s">
        <v>83</v>
      </c>
      <c r="B71" s="24" t="s">
        <v>33</v>
      </c>
      <c r="C71" s="31">
        <v>45292</v>
      </c>
      <c r="D71" s="31">
        <v>45295</v>
      </c>
      <c r="E71" s="24">
        <v>3</v>
      </c>
    </row>
    <row r="72" spans="1:5" x14ac:dyDescent="0.25">
      <c r="A72" s="24" t="s">
        <v>86</v>
      </c>
      <c r="B72" s="24" t="s">
        <v>35</v>
      </c>
      <c r="C72" s="31">
        <v>45292</v>
      </c>
      <c r="D72" s="31">
        <v>45296</v>
      </c>
      <c r="E72" s="24">
        <v>4</v>
      </c>
    </row>
    <row r="73" spans="1:5" x14ac:dyDescent="0.25">
      <c r="A73" s="24" t="s">
        <v>89</v>
      </c>
      <c r="B73" s="24" t="s">
        <v>36</v>
      </c>
      <c r="C73" s="31">
        <v>45293</v>
      </c>
      <c r="D73" s="31">
        <v>45295</v>
      </c>
      <c r="E73" s="24">
        <v>2</v>
      </c>
    </row>
    <row r="74" spans="1:5" x14ac:dyDescent="0.25">
      <c r="A74" s="24" t="s">
        <v>91</v>
      </c>
      <c r="B74" s="24" t="s">
        <v>34</v>
      </c>
      <c r="C74" s="31">
        <v>45293</v>
      </c>
      <c r="D74" s="31">
        <v>45297</v>
      </c>
      <c r="E74" s="24">
        <v>4</v>
      </c>
    </row>
    <row r="75" spans="1:5" x14ac:dyDescent="0.25">
      <c r="A75" s="24" t="s">
        <v>93</v>
      </c>
      <c r="B75" s="24" t="s">
        <v>33</v>
      </c>
      <c r="C75" s="31">
        <v>45294</v>
      </c>
      <c r="D75" s="31">
        <v>45299</v>
      </c>
      <c r="E75" s="24">
        <v>5</v>
      </c>
    </row>
    <row r="76" spans="1:5" x14ac:dyDescent="0.25">
      <c r="A76" s="24" t="s">
        <v>95</v>
      </c>
      <c r="B76" s="24" t="s">
        <v>37</v>
      </c>
      <c r="C76" s="31">
        <v>45294</v>
      </c>
      <c r="D76" s="31">
        <v>45296</v>
      </c>
      <c r="E76" s="24">
        <v>2</v>
      </c>
    </row>
    <row r="77" spans="1:5" x14ac:dyDescent="0.25">
      <c r="A77" s="24" t="s">
        <v>97</v>
      </c>
      <c r="B77" s="24" t="s">
        <v>35</v>
      </c>
      <c r="C77" s="31">
        <v>45295</v>
      </c>
      <c r="D77" s="31">
        <v>45298</v>
      </c>
      <c r="E77" s="24">
        <v>3</v>
      </c>
    </row>
    <row r="78" spans="1:5" x14ac:dyDescent="0.25">
      <c r="A78" s="24" t="s">
        <v>99</v>
      </c>
      <c r="B78" s="24" t="s">
        <v>34</v>
      </c>
      <c r="C78" s="31">
        <v>45295</v>
      </c>
      <c r="D78" s="31">
        <v>45300</v>
      </c>
      <c r="E78" s="24">
        <v>5</v>
      </c>
    </row>
    <row r="79" spans="1:5" x14ac:dyDescent="0.25">
      <c r="A79" s="24" t="s">
        <v>101</v>
      </c>
      <c r="B79" s="24" t="s">
        <v>36</v>
      </c>
      <c r="C79" s="31">
        <v>45296</v>
      </c>
      <c r="D79" s="31">
        <v>45298</v>
      </c>
      <c r="E79" s="24">
        <v>2</v>
      </c>
    </row>
    <row r="80" spans="1:5" x14ac:dyDescent="0.25">
      <c r="A80" s="24" t="s">
        <v>103</v>
      </c>
      <c r="B80" s="24" t="s">
        <v>37</v>
      </c>
      <c r="C80" s="31">
        <v>45296</v>
      </c>
      <c r="D80" s="31">
        <v>45299</v>
      </c>
      <c r="E80" s="24">
        <v>3</v>
      </c>
    </row>
    <row r="83" spans="1:7" x14ac:dyDescent="0.25">
      <c r="A83" s="35" t="s">
        <v>133</v>
      </c>
      <c r="B83" s="20"/>
    </row>
    <row r="84" spans="1:7" ht="30" x14ac:dyDescent="0.25">
      <c r="A84" s="39" t="s">
        <v>123</v>
      </c>
      <c r="B84" s="39" t="s">
        <v>124</v>
      </c>
      <c r="C84" s="39" t="s">
        <v>125</v>
      </c>
      <c r="D84" s="39" t="s">
        <v>126</v>
      </c>
      <c r="E84" s="39" t="s">
        <v>127</v>
      </c>
      <c r="F84" s="39" t="s">
        <v>128</v>
      </c>
      <c r="G84" s="39" t="s">
        <v>129</v>
      </c>
    </row>
    <row r="85" spans="1:7" x14ac:dyDescent="0.25">
      <c r="A85" s="33" t="s">
        <v>130</v>
      </c>
      <c r="B85" s="33">
        <v>100</v>
      </c>
      <c r="C85" s="33">
        <v>15</v>
      </c>
      <c r="D85" s="33">
        <v>10</v>
      </c>
      <c r="E85" s="33">
        <v>2</v>
      </c>
      <c r="F85" s="32">
        <v>61</v>
      </c>
      <c r="G85" s="34">
        <v>915</v>
      </c>
    </row>
    <row r="86" spans="1:7" x14ac:dyDescent="0.25">
      <c r="A86" s="33" t="s">
        <v>130</v>
      </c>
      <c r="B86" s="33">
        <v>100</v>
      </c>
      <c r="C86" s="33">
        <v>15</v>
      </c>
      <c r="D86" s="33">
        <v>10</v>
      </c>
      <c r="E86" s="33">
        <v>2</v>
      </c>
      <c r="F86" s="32" t="s">
        <v>131</v>
      </c>
      <c r="G86" s="33" t="s">
        <v>132</v>
      </c>
    </row>
    <row r="88" spans="1:7" x14ac:dyDescent="0.25">
      <c r="A88" s="14" t="s">
        <v>134</v>
      </c>
      <c r="B88" s="27" t="s">
        <v>135</v>
      </c>
      <c r="C88" s="27" t="s">
        <v>136</v>
      </c>
      <c r="D88" s="27" t="s">
        <v>137</v>
      </c>
      <c r="E88" s="117" t="s">
        <v>138</v>
      </c>
      <c r="F88" s="117"/>
    </row>
    <row r="89" spans="1:7" x14ac:dyDescent="0.25">
      <c r="A89" s="5">
        <v>1</v>
      </c>
      <c r="B89" s="37">
        <v>0.8</v>
      </c>
      <c r="C89" s="36">
        <v>0.84</v>
      </c>
      <c r="D89" s="36" t="s">
        <v>139</v>
      </c>
      <c r="E89" s="116" t="s">
        <v>140</v>
      </c>
      <c r="F89" s="116"/>
    </row>
    <row r="90" spans="1:7" x14ac:dyDescent="0.25">
      <c r="A90" s="5">
        <v>2</v>
      </c>
      <c r="B90" s="37">
        <v>0.85</v>
      </c>
      <c r="C90" s="36">
        <v>1.04</v>
      </c>
      <c r="D90" s="36" t="s">
        <v>132</v>
      </c>
      <c r="E90" s="116" t="s">
        <v>132</v>
      </c>
      <c r="F90" s="116"/>
    </row>
    <row r="91" spans="1:7" x14ac:dyDescent="0.25">
      <c r="A91" s="5">
        <v>3</v>
      </c>
      <c r="B91" s="37">
        <v>0.9</v>
      </c>
      <c r="C91" s="36">
        <v>1.28</v>
      </c>
      <c r="D91" s="36" t="s">
        <v>132</v>
      </c>
      <c r="E91" s="116" t="s">
        <v>132</v>
      </c>
      <c r="F91" s="116"/>
    </row>
    <row r="92" spans="1:7" x14ac:dyDescent="0.25">
      <c r="A92" s="5">
        <v>4</v>
      </c>
      <c r="B92" s="37">
        <v>0.95</v>
      </c>
      <c r="C92" s="36">
        <v>1.65</v>
      </c>
      <c r="D92" s="36" t="s">
        <v>132</v>
      </c>
      <c r="E92" s="116" t="s">
        <v>141</v>
      </c>
      <c r="F92" s="116"/>
    </row>
    <row r="93" spans="1:7" x14ac:dyDescent="0.25">
      <c r="A93" s="5">
        <v>5</v>
      </c>
      <c r="B93" s="37">
        <v>0.97</v>
      </c>
      <c r="C93" s="36">
        <v>1.88</v>
      </c>
      <c r="D93" s="36" t="s">
        <v>132</v>
      </c>
      <c r="E93" s="116" t="s">
        <v>132</v>
      </c>
      <c r="F93" s="116"/>
    </row>
    <row r="94" spans="1:7" x14ac:dyDescent="0.25">
      <c r="A94" s="5">
        <v>6</v>
      </c>
      <c r="B94" s="37">
        <v>0.98</v>
      </c>
      <c r="C94" s="36">
        <v>2.0499999999999998</v>
      </c>
      <c r="D94" s="36" t="s">
        <v>132</v>
      </c>
      <c r="E94" s="116" t="s">
        <v>132</v>
      </c>
      <c r="F94" s="116"/>
    </row>
    <row r="95" spans="1:7" x14ac:dyDescent="0.25">
      <c r="A95" s="5">
        <v>7</v>
      </c>
      <c r="B95" s="37">
        <v>0.99</v>
      </c>
      <c r="C95" s="36">
        <v>2.33</v>
      </c>
      <c r="D95" s="36" t="s">
        <v>132</v>
      </c>
      <c r="E95" s="116" t="s">
        <v>142</v>
      </c>
      <c r="F95" s="116"/>
    </row>
    <row r="96" spans="1:7" x14ac:dyDescent="0.25">
      <c r="A96" s="5">
        <v>8</v>
      </c>
      <c r="B96" s="38">
        <v>0.999</v>
      </c>
      <c r="C96" s="36">
        <v>3.09</v>
      </c>
      <c r="D96" s="36" t="s">
        <v>143</v>
      </c>
      <c r="E96" s="116" t="s">
        <v>144</v>
      </c>
      <c r="F96" s="116"/>
    </row>
    <row r="99" spans="1:12" ht="17.25" x14ac:dyDescent="0.25">
      <c r="A99" s="41" t="s">
        <v>145</v>
      </c>
      <c r="B99" s="20"/>
      <c r="C99" s="20"/>
      <c r="D99" s="20"/>
    </row>
    <row r="101" spans="1:12" ht="30" x14ac:dyDescent="0.25">
      <c r="A101" s="12" t="s">
        <v>146</v>
      </c>
      <c r="B101" s="12" t="s">
        <v>150</v>
      </c>
      <c r="C101" s="12" t="s">
        <v>151</v>
      </c>
      <c r="D101" s="12" t="s">
        <v>149</v>
      </c>
      <c r="E101" s="12" t="s">
        <v>155</v>
      </c>
      <c r="F101" s="12" t="s">
        <v>156</v>
      </c>
      <c r="G101" s="12" t="s">
        <v>154</v>
      </c>
      <c r="H101" s="12" t="s">
        <v>152</v>
      </c>
      <c r="I101" s="52" t="s">
        <v>153</v>
      </c>
    </row>
    <row r="102" spans="1:12" x14ac:dyDescent="0.25">
      <c r="A102" s="43" t="s">
        <v>147</v>
      </c>
      <c r="B102" s="45">
        <v>0.95</v>
      </c>
      <c r="C102" s="40">
        <v>100</v>
      </c>
      <c r="D102" s="40">
        <v>15</v>
      </c>
      <c r="E102" s="40">
        <v>10</v>
      </c>
      <c r="F102" s="40">
        <v>2</v>
      </c>
      <c r="G102" s="40">
        <v>341</v>
      </c>
      <c r="H102" s="50">
        <v>5115</v>
      </c>
      <c r="I102" s="48">
        <f>_xlfn.NORM.S.INV(B102) * SQRT((E102 * D102^2) + (C102^2 * F102^2))</f>
        <v>338.09645211911214</v>
      </c>
      <c r="J102" s="44"/>
      <c r="K102" s="44"/>
      <c r="L102" s="44"/>
    </row>
    <row r="103" spans="1:12" s="49" customFormat="1" x14ac:dyDescent="0.25">
      <c r="A103" s="46">
        <v>2</v>
      </c>
      <c r="B103" s="47">
        <v>0.8</v>
      </c>
      <c r="C103" s="46">
        <v>100</v>
      </c>
      <c r="D103" s="46">
        <v>15</v>
      </c>
      <c r="E103" s="46">
        <v>10</v>
      </c>
      <c r="F103" s="46">
        <v>2</v>
      </c>
      <c r="G103" s="46">
        <v>174</v>
      </c>
      <c r="H103" s="51">
        <v>2610</v>
      </c>
      <c r="I103" s="48">
        <f t="shared" ref="I103:I111" si="10">_xlfn.NORM.S.INV(B103) * SQRT((E103 * D103^2) + (C103^2 * F103^2))</f>
        <v>172.99360164131383</v>
      </c>
    </row>
    <row r="104" spans="1:12" s="49" customFormat="1" x14ac:dyDescent="0.25">
      <c r="A104" s="46">
        <v>3</v>
      </c>
      <c r="B104" s="47">
        <v>0.9</v>
      </c>
      <c r="C104" s="46">
        <v>100</v>
      </c>
      <c r="D104" s="46">
        <v>15</v>
      </c>
      <c r="E104" s="46">
        <v>10</v>
      </c>
      <c r="F104" s="46">
        <v>2</v>
      </c>
      <c r="G104" s="46">
        <v>266</v>
      </c>
      <c r="H104" s="51">
        <v>3990</v>
      </c>
      <c r="I104" s="48">
        <f t="shared" si="10"/>
        <v>263.42042259490768</v>
      </c>
    </row>
    <row r="105" spans="1:12" s="49" customFormat="1" x14ac:dyDescent="0.25">
      <c r="A105" s="46">
        <v>4</v>
      </c>
      <c r="B105" s="47">
        <v>0.98</v>
      </c>
      <c r="C105" s="46">
        <v>100</v>
      </c>
      <c r="D105" s="46">
        <v>15</v>
      </c>
      <c r="E105" s="46">
        <v>10</v>
      </c>
      <c r="F105" s="46">
        <v>2</v>
      </c>
      <c r="G105" s="46">
        <v>425</v>
      </c>
      <c r="H105" s="51">
        <v>6375</v>
      </c>
      <c r="I105" s="48">
        <f t="shared" si="10"/>
        <v>422.14407947960018</v>
      </c>
    </row>
    <row r="106" spans="1:12" s="49" customFormat="1" x14ac:dyDescent="0.25">
      <c r="A106" s="46">
        <v>5</v>
      </c>
      <c r="B106" s="47">
        <v>0.99</v>
      </c>
      <c r="C106" s="46">
        <v>100</v>
      </c>
      <c r="D106" s="46">
        <v>15</v>
      </c>
      <c r="E106" s="46">
        <v>10</v>
      </c>
      <c r="F106" s="46">
        <v>2</v>
      </c>
      <c r="G106" s="46">
        <v>482</v>
      </c>
      <c r="H106" s="51">
        <v>7230</v>
      </c>
      <c r="I106" s="48">
        <f t="shared" si="10"/>
        <v>478.176264270871</v>
      </c>
    </row>
    <row r="107" spans="1:12" s="49" customFormat="1" x14ac:dyDescent="0.25">
      <c r="A107" s="46">
        <v>6</v>
      </c>
      <c r="B107" s="47">
        <v>0.95</v>
      </c>
      <c r="C107" s="46">
        <v>100</v>
      </c>
      <c r="D107" s="42">
        <v>30</v>
      </c>
      <c r="E107" s="46">
        <v>10</v>
      </c>
      <c r="F107" s="46">
        <v>2</v>
      </c>
      <c r="G107" s="46">
        <v>417</v>
      </c>
      <c r="H107" s="51">
        <v>6255</v>
      </c>
      <c r="I107" s="48">
        <f t="shared" si="10"/>
        <v>364.10387151289001</v>
      </c>
    </row>
    <row r="108" spans="1:12" s="49" customFormat="1" x14ac:dyDescent="0.25">
      <c r="A108" s="46">
        <v>7</v>
      </c>
      <c r="B108" s="47">
        <v>0.95</v>
      </c>
      <c r="C108" s="46">
        <v>100</v>
      </c>
      <c r="D108" s="46">
        <v>15</v>
      </c>
      <c r="E108" s="42">
        <v>20</v>
      </c>
      <c r="F108" s="46">
        <v>2</v>
      </c>
      <c r="G108" s="46">
        <v>360</v>
      </c>
      <c r="H108" s="51">
        <v>5400</v>
      </c>
      <c r="I108" s="48">
        <f t="shared" si="10"/>
        <v>346.98225272662836</v>
      </c>
    </row>
    <row r="109" spans="1:12" s="49" customFormat="1" x14ac:dyDescent="0.25">
      <c r="A109" s="46">
        <v>8</v>
      </c>
      <c r="B109" s="47">
        <v>0.95</v>
      </c>
      <c r="C109" s="46">
        <v>100</v>
      </c>
      <c r="D109" s="46">
        <v>15</v>
      </c>
      <c r="E109" s="46">
        <v>10</v>
      </c>
      <c r="F109" s="42">
        <v>5</v>
      </c>
      <c r="G109" s="46">
        <v>834</v>
      </c>
      <c r="H109" s="51">
        <v>12510</v>
      </c>
      <c r="I109" s="48">
        <f t="shared" si="10"/>
        <v>826.11944432725181</v>
      </c>
    </row>
    <row r="110" spans="1:12" s="49" customFormat="1" x14ac:dyDescent="0.25">
      <c r="A110" s="46">
        <v>9</v>
      </c>
      <c r="B110" s="47">
        <v>0.95</v>
      </c>
      <c r="C110" s="42">
        <v>200</v>
      </c>
      <c r="D110" s="46">
        <v>30</v>
      </c>
      <c r="E110" s="46">
        <v>10</v>
      </c>
      <c r="F110" s="46">
        <v>2</v>
      </c>
      <c r="G110" s="46">
        <v>834</v>
      </c>
      <c r="H110" s="51">
        <v>12510</v>
      </c>
      <c r="I110" s="48">
        <f t="shared" si="10"/>
        <v>676.19290423822429</v>
      </c>
    </row>
    <row r="111" spans="1:12" s="49" customFormat="1" x14ac:dyDescent="0.25">
      <c r="A111" s="46">
        <v>10</v>
      </c>
      <c r="B111" s="47">
        <v>0.999</v>
      </c>
      <c r="C111" s="46">
        <v>100</v>
      </c>
      <c r="D111" s="46">
        <v>15</v>
      </c>
      <c r="E111" s="46">
        <v>10</v>
      </c>
      <c r="F111" s="46">
        <v>2</v>
      </c>
      <c r="G111" s="46">
        <v>640</v>
      </c>
      <c r="H111" s="46"/>
      <c r="I111" s="48">
        <f t="shared" si="10"/>
        <v>635.19121812413073</v>
      </c>
    </row>
    <row r="113" spans="1:11" x14ac:dyDescent="0.25">
      <c r="A113" s="18" t="s">
        <v>157</v>
      </c>
    </row>
    <row r="114" spans="1:11" x14ac:dyDescent="0.25">
      <c r="A114" s="53" t="s">
        <v>158</v>
      </c>
    </row>
    <row r="115" spans="1:11" x14ac:dyDescent="0.25">
      <c r="A115" s="53" t="s">
        <v>159</v>
      </c>
    </row>
    <row r="117" spans="1:11" x14ac:dyDescent="0.25">
      <c r="A117" s="12" t="s">
        <v>160</v>
      </c>
      <c r="B117" s="12" t="s">
        <v>161</v>
      </c>
      <c r="C117" s="12" t="s">
        <v>162</v>
      </c>
    </row>
    <row r="118" spans="1:11" ht="28.5" x14ac:dyDescent="0.25">
      <c r="A118" s="40" t="s">
        <v>163</v>
      </c>
      <c r="B118" s="10" t="s">
        <v>164</v>
      </c>
      <c r="C118" s="10" t="s">
        <v>165</v>
      </c>
    </row>
    <row r="119" spans="1:11" ht="28.5" x14ac:dyDescent="0.25">
      <c r="A119" s="40" t="s">
        <v>166</v>
      </c>
      <c r="B119" s="10" t="s">
        <v>167</v>
      </c>
      <c r="C119" s="10" t="s">
        <v>168</v>
      </c>
    </row>
    <row r="120" spans="1:11" ht="28.5" x14ac:dyDescent="0.25">
      <c r="A120" s="40" t="s">
        <v>169</v>
      </c>
      <c r="B120" s="10" t="s">
        <v>170</v>
      </c>
      <c r="C120" s="10" t="s">
        <v>171</v>
      </c>
    </row>
    <row r="121" spans="1:11" ht="28.5" x14ac:dyDescent="0.25">
      <c r="A121" s="40" t="s">
        <v>172</v>
      </c>
      <c r="B121" s="10" t="s">
        <v>173</v>
      </c>
      <c r="C121" s="10" t="s">
        <v>174</v>
      </c>
    </row>
    <row r="122" spans="1:11" ht="28.5" x14ac:dyDescent="0.25">
      <c r="A122" s="40" t="s">
        <v>175</v>
      </c>
      <c r="B122" s="10" t="s">
        <v>176</v>
      </c>
      <c r="C122" s="10" t="s">
        <v>177</v>
      </c>
    </row>
    <row r="124" spans="1:11" ht="17.25" x14ac:dyDescent="0.25">
      <c r="A124" s="54" t="s">
        <v>178</v>
      </c>
    </row>
    <row r="126" spans="1:11" ht="30" x14ac:dyDescent="0.25">
      <c r="A126" s="12" t="s">
        <v>179</v>
      </c>
      <c r="B126" s="12" t="s">
        <v>180</v>
      </c>
      <c r="C126" s="57" t="s">
        <v>181</v>
      </c>
      <c r="D126" s="57" t="s">
        <v>182</v>
      </c>
      <c r="E126" s="57" t="s">
        <v>183</v>
      </c>
      <c r="F126" s="57" t="s">
        <v>184</v>
      </c>
      <c r="G126" s="12" t="s">
        <v>185</v>
      </c>
      <c r="H126" s="12" t="s">
        <v>186</v>
      </c>
      <c r="I126" s="56" t="s">
        <v>186</v>
      </c>
    </row>
    <row r="127" spans="1:11" x14ac:dyDescent="0.25">
      <c r="A127" s="10">
        <v>1</v>
      </c>
      <c r="B127" s="61">
        <v>621958</v>
      </c>
      <c r="C127" s="61">
        <v>20524</v>
      </c>
      <c r="D127" s="61">
        <v>13901</v>
      </c>
      <c r="E127" s="61">
        <v>40263</v>
      </c>
      <c r="F127" s="61">
        <v>59345</v>
      </c>
      <c r="G127" s="11">
        <v>134033</v>
      </c>
      <c r="H127" s="55">
        <v>0.2155</v>
      </c>
      <c r="I127" s="58">
        <f>SUM(C127:F127)/B127*100</f>
        <v>21.550168982471483</v>
      </c>
      <c r="J127" s="60"/>
      <c r="K127" s="59"/>
    </row>
    <row r="128" spans="1:11" x14ac:dyDescent="0.25">
      <c r="A128" s="10">
        <v>2</v>
      </c>
      <c r="B128" s="61">
        <v>1171155</v>
      </c>
      <c r="C128" s="61">
        <v>51270</v>
      </c>
      <c r="D128" s="61">
        <v>26038</v>
      </c>
      <c r="E128" s="61">
        <v>64763</v>
      </c>
      <c r="F128" s="61">
        <v>94440</v>
      </c>
      <c r="G128" s="11">
        <v>236511</v>
      </c>
      <c r="H128" s="55">
        <v>0.2019</v>
      </c>
      <c r="I128" s="58">
        <f t="shared" ref="I128:I136" si="11">SUM(C128:F128)/B128*100</f>
        <v>20.194679611153095</v>
      </c>
      <c r="J128" s="60"/>
      <c r="K128" s="59"/>
    </row>
    <row r="129" spans="1:11" x14ac:dyDescent="0.25">
      <c r="A129" s="10">
        <v>3</v>
      </c>
      <c r="B129" s="61">
        <v>631932</v>
      </c>
      <c r="C129" s="61">
        <v>25284</v>
      </c>
      <c r="D129" s="61">
        <v>6409</v>
      </c>
      <c r="E129" s="61">
        <v>50131</v>
      </c>
      <c r="F129" s="61">
        <v>56391</v>
      </c>
      <c r="G129" s="11">
        <v>138215</v>
      </c>
      <c r="H129" s="55">
        <v>0.21870000000000001</v>
      </c>
      <c r="I129" s="58">
        <f t="shared" si="11"/>
        <v>21.871815321901725</v>
      </c>
      <c r="J129" s="60"/>
      <c r="K129" s="59"/>
    </row>
    <row r="130" spans="1:11" x14ac:dyDescent="0.25">
      <c r="A130" s="10">
        <v>4</v>
      </c>
      <c r="B130" s="61">
        <v>1914414</v>
      </c>
      <c r="C130" s="61">
        <v>65638</v>
      </c>
      <c r="D130" s="61">
        <v>20027</v>
      </c>
      <c r="E130" s="61">
        <v>112320</v>
      </c>
      <c r="F130" s="61">
        <v>171610</v>
      </c>
      <c r="G130" s="11">
        <v>369595</v>
      </c>
      <c r="H130" s="55">
        <v>0.19309999999999999</v>
      </c>
      <c r="I130" s="58">
        <f t="shared" si="11"/>
        <v>19.305907708572963</v>
      </c>
      <c r="J130" s="60"/>
      <c r="K130" s="59"/>
    </row>
    <row r="131" spans="1:11" x14ac:dyDescent="0.25">
      <c r="A131" s="10">
        <v>5</v>
      </c>
      <c r="B131" s="61">
        <v>759178</v>
      </c>
      <c r="C131" s="61">
        <v>37600</v>
      </c>
      <c r="D131" s="61">
        <v>15560</v>
      </c>
      <c r="E131" s="61">
        <v>56481</v>
      </c>
      <c r="F131" s="61">
        <v>81483</v>
      </c>
      <c r="G131" s="11">
        <v>191124</v>
      </c>
      <c r="H131" s="55">
        <v>0.25180000000000002</v>
      </c>
      <c r="I131" s="58">
        <f t="shared" si="11"/>
        <v>25.175123620547485</v>
      </c>
      <c r="J131" s="60"/>
      <c r="K131" s="59"/>
    </row>
    <row r="132" spans="1:11" x14ac:dyDescent="0.25">
      <c r="A132" s="10">
        <v>6</v>
      </c>
      <c r="B132" s="61">
        <v>610268</v>
      </c>
      <c r="C132" s="61">
        <v>19341</v>
      </c>
      <c r="D132" s="61">
        <v>10983</v>
      </c>
      <c r="E132" s="61">
        <v>41018</v>
      </c>
      <c r="F132" s="61">
        <v>63712</v>
      </c>
      <c r="G132" s="11">
        <v>135054</v>
      </c>
      <c r="H132" s="55">
        <v>0.2213</v>
      </c>
      <c r="I132" s="58">
        <f t="shared" si="11"/>
        <v>22.130277189693707</v>
      </c>
      <c r="J132" s="60"/>
      <c r="K132" s="59"/>
    </row>
    <row r="133" spans="1:11" x14ac:dyDescent="0.25">
      <c r="A133" s="10">
        <v>7</v>
      </c>
      <c r="B133" s="61">
        <v>1232180</v>
      </c>
      <c r="C133" s="61">
        <v>63654</v>
      </c>
      <c r="D133" s="61">
        <v>13472</v>
      </c>
      <c r="E133" s="61">
        <v>71491</v>
      </c>
      <c r="F133" s="61">
        <v>139640</v>
      </c>
      <c r="G133" s="11">
        <v>288257</v>
      </c>
      <c r="H133" s="55">
        <v>0.2339</v>
      </c>
      <c r="I133" s="58">
        <f t="shared" si="11"/>
        <v>23.394065802074373</v>
      </c>
      <c r="J133" s="60"/>
      <c r="K133" s="59"/>
    </row>
    <row r="134" spans="1:11" x14ac:dyDescent="0.25">
      <c r="A134" s="10">
        <v>8</v>
      </c>
      <c r="B134" s="61">
        <v>1603462</v>
      </c>
      <c r="C134" s="61">
        <v>93252</v>
      </c>
      <c r="D134" s="61">
        <v>47262</v>
      </c>
      <c r="E134" s="61">
        <v>64989</v>
      </c>
      <c r="F134" s="61">
        <v>139396</v>
      </c>
      <c r="G134" s="11">
        <v>344899</v>
      </c>
      <c r="H134" s="55">
        <v>0.21510000000000001</v>
      </c>
      <c r="I134" s="58">
        <f t="shared" si="11"/>
        <v>21.509646003460013</v>
      </c>
      <c r="J134" s="60"/>
      <c r="K134" s="59"/>
    </row>
    <row r="135" spans="1:11" x14ac:dyDescent="0.25">
      <c r="A135" s="10">
        <v>9</v>
      </c>
      <c r="B135" s="61">
        <v>637337</v>
      </c>
      <c r="C135" s="61">
        <v>19135</v>
      </c>
      <c r="D135" s="61">
        <v>9340</v>
      </c>
      <c r="E135" s="61">
        <v>49513</v>
      </c>
      <c r="F135" s="61">
        <v>60956</v>
      </c>
      <c r="G135" s="11">
        <v>138944</v>
      </c>
      <c r="H135" s="55">
        <v>0.218</v>
      </c>
      <c r="I135" s="58">
        <f t="shared" si="11"/>
        <v>21.800711397580873</v>
      </c>
      <c r="J135" s="60"/>
      <c r="K135" s="59"/>
    </row>
    <row r="136" spans="1:11" x14ac:dyDescent="0.25">
      <c r="A136" s="10">
        <v>10</v>
      </c>
      <c r="B136" s="61">
        <v>1499890</v>
      </c>
      <c r="C136" s="61">
        <v>89643</v>
      </c>
      <c r="D136" s="61">
        <v>17717</v>
      </c>
      <c r="E136" s="61">
        <v>93790</v>
      </c>
      <c r="F136" s="61">
        <v>130925</v>
      </c>
      <c r="G136" s="11">
        <v>332075</v>
      </c>
      <c r="H136" s="55">
        <v>0.22140000000000001</v>
      </c>
      <c r="I136" s="58">
        <f t="shared" si="11"/>
        <v>22.139956930174879</v>
      </c>
      <c r="J136" s="60"/>
      <c r="K136" s="59"/>
    </row>
    <row r="138" spans="1:11" x14ac:dyDescent="0.25">
      <c r="A138" s="62" t="s">
        <v>187</v>
      </c>
      <c r="B138" s="63"/>
    </row>
    <row r="139" spans="1:11" x14ac:dyDescent="0.25">
      <c r="A139" s="12" t="s">
        <v>195</v>
      </c>
      <c r="B139" s="12" t="s">
        <v>0</v>
      </c>
      <c r="C139" s="12" t="s">
        <v>196</v>
      </c>
      <c r="D139" s="12" t="s">
        <v>197</v>
      </c>
      <c r="E139" s="66" t="s">
        <v>188</v>
      </c>
      <c r="F139" s="66" t="s">
        <v>189</v>
      </c>
    </row>
    <row r="140" spans="1:11" x14ac:dyDescent="0.25">
      <c r="A140" s="10" t="s">
        <v>22</v>
      </c>
      <c r="B140" s="10" t="s">
        <v>130</v>
      </c>
      <c r="C140" s="10">
        <v>500</v>
      </c>
      <c r="D140" s="10">
        <v>480</v>
      </c>
      <c r="E140" s="10">
        <f>ABS(D140-C140)</f>
        <v>20</v>
      </c>
      <c r="F140" s="64">
        <f>1 - (ABS(D140-C140) / D140)</f>
        <v>0.95833333333333337</v>
      </c>
      <c r="G140" s="65"/>
    </row>
    <row r="141" spans="1:11" x14ac:dyDescent="0.25">
      <c r="A141" s="10" t="s">
        <v>23</v>
      </c>
      <c r="B141" s="10" t="s">
        <v>130</v>
      </c>
      <c r="C141" s="10">
        <v>500</v>
      </c>
      <c r="D141" s="10">
        <v>520</v>
      </c>
      <c r="E141" s="10">
        <f t="shared" ref="E141:E149" si="12">ABS(D141-C141)</f>
        <v>20</v>
      </c>
      <c r="F141" s="64">
        <f t="shared" ref="F141:F149" si="13">1 - (ABS(D141-C141) / D141)</f>
        <v>0.96153846153846156</v>
      </c>
      <c r="G141" s="65"/>
    </row>
    <row r="142" spans="1:11" x14ac:dyDescent="0.25">
      <c r="A142" s="10" t="s">
        <v>24</v>
      </c>
      <c r="B142" s="10" t="s">
        <v>130</v>
      </c>
      <c r="C142" s="10">
        <v>550</v>
      </c>
      <c r="D142" s="10">
        <v>600</v>
      </c>
      <c r="E142" s="10">
        <f t="shared" si="12"/>
        <v>50</v>
      </c>
      <c r="F142" s="64">
        <f t="shared" si="13"/>
        <v>0.91666666666666663</v>
      </c>
      <c r="G142" s="65"/>
    </row>
    <row r="143" spans="1:11" x14ac:dyDescent="0.25">
      <c r="A143" s="10" t="s">
        <v>25</v>
      </c>
      <c r="B143" s="10" t="s">
        <v>130</v>
      </c>
      <c r="C143" s="10">
        <v>600</v>
      </c>
      <c r="D143" s="10">
        <v>450</v>
      </c>
      <c r="E143" s="10">
        <f t="shared" si="12"/>
        <v>150</v>
      </c>
      <c r="F143" s="64">
        <f t="shared" si="13"/>
        <v>0.66666666666666674</v>
      </c>
      <c r="G143" s="65"/>
    </row>
    <row r="144" spans="1:11" x14ac:dyDescent="0.25">
      <c r="A144" s="10" t="s">
        <v>26</v>
      </c>
      <c r="B144" s="10" t="s">
        <v>130</v>
      </c>
      <c r="C144" s="10">
        <v>450</v>
      </c>
      <c r="D144" s="10">
        <v>470</v>
      </c>
      <c r="E144" s="10">
        <f t="shared" si="12"/>
        <v>20</v>
      </c>
      <c r="F144" s="64">
        <f t="shared" si="13"/>
        <v>0.95744680851063835</v>
      </c>
      <c r="G144" s="65"/>
    </row>
    <row r="145" spans="1:8" x14ac:dyDescent="0.25">
      <c r="A145" s="10" t="s">
        <v>190</v>
      </c>
      <c r="B145" s="10" t="s">
        <v>130</v>
      </c>
      <c r="C145" s="10">
        <v>500</v>
      </c>
      <c r="D145" s="10">
        <v>510</v>
      </c>
      <c r="E145" s="10">
        <f t="shared" si="12"/>
        <v>10</v>
      </c>
      <c r="F145" s="64">
        <f t="shared" si="13"/>
        <v>0.98039215686274506</v>
      </c>
      <c r="G145" s="65"/>
    </row>
    <row r="146" spans="1:8" x14ac:dyDescent="0.25">
      <c r="A146" s="10" t="s">
        <v>191</v>
      </c>
      <c r="B146" s="10" t="s">
        <v>130</v>
      </c>
      <c r="C146" s="10">
        <v>700</v>
      </c>
      <c r="D146" s="10">
        <v>680</v>
      </c>
      <c r="E146" s="10">
        <f t="shared" si="12"/>
        <v>20</v>
      </c>
      <c r="F146" s="64">
        <f t="shared" si="13"/>
        <v>0.97058823529411764</v>
      </c>
      <c r="G146" s="65"/>
    </row>
    <row r="147" spans="1:8" x14ac:dyDescent="0.25">
      <c r="A147" s="10" t="s">
        <v>192</v>
      </c>
      <c r="B147" s="10" t="s">
        <v>130</v>
      </c>
      <c r="C147" s="10">
        <v>750</v>
      </c>
      <c r="D147" s="10">
        <v>820</v>
      </c>
      <c r="E147" s="10">
        <f t="shared" si="12"/>
        <v>70</v>
      </c>
      <c r="F147" s="64">
        <f t="shared" si="13"/>
        <v>0.91463414634146345</v>
      </c>
      <c r="G147" s="65"/>
    </row>
    <row r="148" spans="1:8" x14ac:dyDescent="0.25">
      <c r="A148" s="10" t="s">
        <v>193</v>
      </c>
      <c r="B148" s="10" t="s">
        <v>130</v>
      </c>
      <c r="C148" s="10">
        <v>800</v>
      </c>
      <c r="D148" s="10">
        <v>790</v>
      </c>
      <c r="E148" s="10">
        <f t="shared" si="12"/>
        <v>10</v>
      </c>
      <c r="F148" s="64">
        <f t="shared" si="13"/>
        <v>0.98734177215189878</v>
      </c>
      <c r="G148" s="65"/>
    </row>
    <row r="149" spans="1:8" x14ac:dyDescent="0.25">
      <c r="A149" s="10" t="s">
        <v>194</v>
      </c>
      <c r="B149" s="10" t="s">
        <v>130</v>
      </c>
      <c r="C149" s="10">
        <v>850</v>
      </c>
      <c r="D149" s="10">
        <v>900</v>
      </c>
      <c r="E149" s="10">
        <f t="shared" si="12"/>
        <v>50</v>
      </c>
      <c r="F149" s="64">
        <f t="shared" si="13"/>
        <v>0.94444444444444442</v>
      </c>
      <c r="G149" s="65"/>
    </row>
    <row r="151" spans="1:8" ht="15.75" x14ac:dyDescent="0.25">
      <c r="A151" s="68" t="s">
        <v>198</v>
      </c>
    </row>
    <row r="152" spans="1:8" ht="30" x14ac:dyDescent="0.25">
      <c r="A152" s="12" t="s">
        <v>199</v>
      </c>
      <c r="B152" s="12" t="s">
        <v>160</v>
      </c>
      <c r="C152" s="12" t="s">
        <v>212</v>
      </c>
      <c r="D152" s="12" t="s">
        <v>213</v>
      </c>
      <c r="E152" s="66" t="s">
        <v>200</v>
      </c>
      <c r="F152" s="66" t="s">
        <v>201</v>
      </c>
    </row>
    <row r="153" spans="1:8" x14ac:dyDescent="0.25">
      <c r="A153" s="70">
        <v>1</v>
      </c>
      <c r="B153" s="10" t="s">
        <v>202</v>
      </c>
      <c r="C153" s="61">
        <v>50000</v>
      </c>
      <c r="D153" s="61">
        <v>49200</v>
      </c>
      <c r="E153" s="69">
        <f>C153-D153</f>
        <v>800</v>
      </c>
      <c r="F153" s="64">
        <f>(C153-D153)/C153</f>
        <v>1.6E-2</v>
      </c>
      <c r="G153" s="65"/>
      <c r="H153" s="67"/>
    </row>
    <row r="154" spans="1:8" x14ac:dyDescent="0.25">
      <c r="A154" s="70">
        <v>2</v>
      </c>
      <c r="B154" s="10" t="s">
        <v>203</v>
      </c>
      <c r="C154" s="61">
        <v>25000</v>
      </c>
      <c r="D154" s="61">
        <v>24100</v>
      </c>
      <c r="E154" s="69">
        <f t="shared" ref="E154:E162" si="14">C154-D154</f>
        <v>900</v>
      </c>
      <c r="F154" s="64">
        <f t="shared" ref="F154:F162" si="15">(C154-D154)/C154</f>
        <v>3.5999999999999997E-2</v>
      </c>
      <c r="G154" s="65"/>
      <c r="H154" s="67"/>
    </row>
    <row r="155" spans="1:8" x14ac:dyDescent="0.25">
      <c r="A155" s="70">
        <v>3</v>
      </c>
      <c r="B155" s="10" t="s">
        <v>204</v>
      </c>
      <c r="C155" s="61">
        <v>15000</v>
      </c>
      <c r="D155" s="61">
        <v>14850</v>
      </c>
      <c r="E155" s="69">
        <f t="shared" si="14"/>
        <v>150</v>
      </c>
      <c r="F155" s="64">
        <f t="shared" si="15"/>
        <v>0.01</v>
      </c>
      <c r="G155" s="65"/>
      <c r="H155" s="67"/>
    </row>
    <row r="156" spans="1:8" x14ac:dyDescent="0.25">
      <c r="A156" s="70">
        <v>4</v>
      </c>
      <c r="B156" s="10" t="s">
        <v>205</v>
      </c>
      <c r="C156" s="61">
        <v>10000</v>
      </c>
      <c r="D156" s="61">
        <v>9400</v>
      </c>
      <c r="E156" s="69">
        <f t="shared" si="14"/>
        <v>600</v>
      </c>
      <c r="F156" s="64">
        <f t="shared" si="15"/>
        <v>0.06</v>
      </c>
      <c r="G156" s="65"/>
      <c r="H156" s="67"/>
    </row>
    <row r="157" spans="1:8" x14ac:dyDescent="0.25">
      <c r="A157" s="70">
        <v>5</v>
      </c>
      <c r="B157" s="10" t="s">
        <v>206</v>
      </c>
      <c r="C157" s="61">
        <v>8500</v>
      </c>
      <c r="D157" s="61">
        <v>8000</v>
      </c>
      <c r="E157" s="69">
        <f t="shared" si="14"/>
        <v>500</v>
      </c>
      <c r="F157" s="64">
        <f t="shared" si="15"/>
        <v>5.8823529411764705E-2</v>
      </c>
      <c r="G157" s="65"/>
      <c r="H157" s="67"/>
    </row>
    <row r="158" spans="1:8" x14ac:dyDescent="0.25">
      <c r="A158" s="70">
        <v>6</v>
      </c>
      <c r="B158" s="10" t="s">
        <v>207</v>
      </c>
      <c r="C158" s="61">
        <v>30000</v>
      </c>
      <c r="D158" s="61">
        <v>29700</v>
      </c>
      <c r="E158" s="69">
        <f t="shared" si="14"/>
        <v>300</v>
      </c>
      <c r="F158" s="64">
        <f t="shared" si="15"/>
        <v>0.01</v>
      </c>
      <c r="G158" s="65"/>
      <c r="H158" s="67"/>
    </row>
    <row r="159" spans="1:8" x14ac:dyDescent="0.25">
      <c r="A159" s="70">
        <v>7</v>
      </c>
      <c r="B159" s="10" t="s">
        <v>208</v>
      </c>
      <c r="C159" s="61">
        <v>12000</v>
      </c>
      <c r="D159" s="61">
        <v>11400</v>
      </c>
      <c r="E159" s="69">
        <f t="shared" si="14"/>
        <v>600</v>
      </c>
      <c r="F159" s="64">
        <f t="shared" si="15"/>
        <v>0.05</v>
      </c>
      <c r="G159" s="65"/>
      <c r="H159" s="67"/>
    </row>
    <row r="160" spans="1:8" x14ac:dyDescent="0.25">
      <c r="A160" s="70">
        <v>8</v>
      </c>
      <c r="B160" s="10" t="s">
        <v>209</v>
      </c>
      <c r="C160" s="61">
        <v>7000</v>
      </c>
      <c r="D160" s="61">
        <v>6950</v>
      </c>
      <c r="E160" s="69">
        <f t="shared" si="14"/>
        <v>50</v>
      </c>
      <c r="F160" s="64">
        <f t="shared" si="15"/>
        <v>7.1428571428571426E-3</v>
      </c>
      <c r="G160" s="65"/>
      <c r="H160" s="67"/>
    </row>
    <row r="161" spans="1:8" x14ac:dyDescent="0.25">
      <c r="A161" s="70">
        <v>9</v>
      </c>
      <c r="B161" s="10" t="s">
        <v>210</v>
      </c>
      <c r="C161" s="61">
        <v>20000</v>
      </c>
      <c r="D161" s="61">
        <v>19500</v>
      </c>
      <c r="E161" s="69">
        <f t="shared" si="14"/>
        <v>500</v>
      </c>
      <c r="F161" s="64">
        <f t="shared" si="15"/>
        <v>2.5000000000000001E-2</v>
      </c>
      <c r="G161" s="65"/>
      <c r="H161" s="67"/>
    </row>
    <row r="162" spans="1:8" x14ac:dyDescent="0.25">
      <c r="A162" s="70">
        <v>10</v>
      </c>
      <c r="B162" s="10" t="s">
        <v>211</v>
      </c>
      <c r="C162" s="61">
        <v>5000</v>
      </c>
      <c r="D162" s="61">
        <v>4900</v>
      </c>
      <c r="E162" s="69">
        <f t="shared" si="14"/>
        <v>100</v>
      </c>
      <c r="F162" s="64">
        <f t="shared" si="15"/>
        <v>0.02</v>
      </c>
      <c r="G162" s="65"/>
      <c r="H162" s="67"/>
    </row>
    <row r="164" spans="1:8" x14ac:dyDescent="0.25">
      <c r="A164" s="18" t="s">
        <v>214</v>
      </c>
      <c r="B164" s="19"/>
    </row>
    <row r="166" spans="1:8" ht="30" x14ac:dyDescent="0.25">
      <c r="A166" s="12" t="s">
        <v>215</v>
      </c>
      <c r="B166" s="12" t="s">
        <v>217</v>
      </c>
      <c r="C166" s="12" t="s">
        <v>216</v>
      </c>
      <c r="D166" s="66" t="s">
        <v>218</v>
      </c>
    </row>
    <row r="167" spans="1:8" x14ac:dyDescent="0.25">
      <c r="A167" s="10" t="s">
        <v>22</v>
      </c>
      <c r="B167" s="72">
        <v>50000</v>
      </c>
      <c r="C167" s="72">
        <v>12500</v>
      </c>
      <c r="D167" s="40">
        <v>4</v>
      </c>
      <c r="F167" s="71"/>
    </row>
    <row r="168" spans="1:8" x14ac:dyDescent="0.25">
      <c r="A168" s="10" t="s">
        <v>23</v>
      </c>
      <c r="B168" s="72">
        <v>48000</v>
      </c>
      <c r="C168" s="72">
        <v>15000</v>
      </c>
      <c r="D168" s="40">
        <v>3.2</v>
      </c>
    </row>
    <row r="169" spans="1:8" x14ac:dyDescent="0.25">
      <c r="A169" s="10" t="s">
        <v>24</v>
      </c>
      <c r="B169" s="72">
        <v>55000</v>
      </c>
      <c r="C169" s="72">
        <v>20000</v>
      </c>
      <c r="D169" s="40">
        <v>2.75</v>
      </c>
    </row>
    <row r="170" spans="1:8" x14ac:dyDescent="0.25">
      <c r="A170" s="10" t="s">
        <v>25</v>
      </c>
      <c r="B170" s="72">
        <v>60000</v>
      </c>
      <c r="C170" s="72">
        <v>18000</v>
      </c>
      <c r="D170" s="40">
        <v>3.33</v>
      </c>
      <c r="E170" s="60"/>
    </row>
    <row r="171" spans="1:8" x14ac:dyDescent="0.25">
      <c r="A171" s="10" t="s">
        <v>26</v>
      </c>
      <c r="B171" s="72">
        <v>52000</v>
      </c>
      <c r="C171" s="72">
        <v>22000</v>
      </c>
      <c r="D171" s="40">
        <v>2.36</v>
      </c>
      <c r="E171" s="60"/>
    </row>
    <row r="172" spans="1:8" x14ac:dyDescent="0.25">
      <c r="A172" s="10" t="s">
        <v>190</v>
      </c>
      <c r="B172" s="72">
        <v>45000</v>
      </c>
      <c r="C172" s="72">
        <v>15000</v>
      </c>
      <c r="D172" s="40">
        <v>3</v>
      </c>
    </row>
    <row r="173" spans="1:8" x14ac:dyDescent="0.25">
      <c r="A173" s="10" t="s">
        <v>191</v>
      </c>
      <c r="B173" s="72">
        <v>42000</v>
      </c>
      <c r="C173" s="72">
        <v>14000</v>
      </c>
      <c r="D173" s="40">
        <v>3</v>
      </c>
    </row>
    <row r="174" spans="1:8" x14ac:dyDescent="0.25">
      <c r="A174" s="10" t="s">
        <v>192</v>
      </c>
      <c r="B174" s="72">
        <v>58000</v>
      </c>
      <c r="C174" s="72">
        <v>19000</v>
      </c>
      <c r="D174" s="40">
        <v>3.05</v>
      </c>
      <c r="E174" s="60"/>
    </row>
    <row r="175" spans="1:8" x14ac:dyDescent="0.25">
      <c r="A175" s="10" t="s">
        <v>193</v>
      </c>
      <c r="B175" s="72">
        <v>65000</v>
      </c>
      <c r="C175" s="72">
        <v>25000</v>
      </c>
      <c r="D175" s="40">
        <v>2.6</v>
      </c>
    </row>
    <row r="176" spans="1:8" x14ac:dyDescent="0.25">
      <c r="A176" s="10" t="s">
        <v>194</v>
      </c>
      <c r="B176" s="72">
        <v>75000</v>
      </c>
      <c r="C176" s="72">
        <v>30000</v>
      </c>
      <c r="D176" s="40">
        <v>2.5</v>
      </c>
    </row>
    <row r="178" spans="1:8" x14ac:dyDescent="0.25">
      <c r="A178" s="18" t="s">
        <v>245</v>
      </c>
    </row>
    <row r="179" spans="1:8" x14ac:dyDescent="0.25">
      <c r="A179" s="12" t="s">
        <v>123</v>
      </c>
      <c r="B179" s="12" t="s">
        <v>243</v>
      </c>
      <c r="C179" s="12" t="s">
        <v>241</v>
      </c>
      <c r="D179" s="12" t="s">
        <v>242</v>
      </c>
      <c r="E179" s="52" t="s">
        <v>244</v>
      </c>
      <c r="F179" s="52" t="s">
        <v>160</v>
      </c>
      <c r="G179" s="52" t="s">
        <v>244</v>
      </c>
    </row>
    <row r="180" spans="1:8" x14ac:dyDescent="0.25">
      <c r="A180" s="10" t="s">
        <v>130</v>
      </c>
      <c r="B180" s="72">
        <v>5000</v>
      </c>
      <c r="C180" s="72">
        <v>250</v>
      </c>
      <c r="D180" s="72">
        <v>1250000</v>
      </c>
      <c r="E180" s="64">
        <v>0.28299999999999997</v>
      </c>
      <c r="F180" s="40" t="s">
        <v>219</v>
      </c>
      <c r="G180" s="65">
        <f>SUM($D$180:D180)/$D$200</f>
        <v>0.28347885247760518</v>
      </c>
      <c r="H180" s="65"/>
    </row>
    <row r="181" spans="1:8" x14ac:dyDescent="0.25">
      <c r="A181" s="10" t="s">
        <v>220</v>
      </c>
      <c r="B181" s="72">
        <v>12000</v>
      </c>
      <c r="C181" s="72">
        <v>80</v>
      </c>
      <c r="D181" s="72">
        <v>960000</v>
      </c>
      <c r="E181" s="64">
        <v>0.501</v>
      </c>
      <c r="F181" s="40" t="s">
        <v>219</v>
      </c>
      <c r="G181" s="65">
        <f>SUM($D$180:D181)/$D$200</f>
        <v>0.50119061118040598</v>
      </c>
      <c r="H181" s="74"/>
    </row>
    <row r="182" spans="1:8" x14ac:dyDescent="0.25">
      <c r="A182" s="10" t="s">
        <v>221</v>
      </c>
      <c r="B182" s="72">
        <v>1500</v>
      </c>
      <c r="C182" s="72">
        <v>450</v>
      </c>
      <c r="D182" s="72">
        <v>675000</v>
      </c>
      <c r="E182" s="64">
        <v>0.65400000000000003</v>
      </c>
      <c r="F182" s="40" t="s">
        <v>219</v>
      </c>
      <c r="G182" s="65">
        <f>SUM($D$180:D182)/$D$200</f>
        <v>0.65426919151831275</v>
      </c>
      <c r="H182" s="74"/>
    </row>
    <row r="183" spans="1:8" x14ac:dyDescent="0.25">
      <c r="A183" s="10" t="s">
        <v>222</v>
      </c>
      <c r="B183" s="72">
        <v>8000</v>
      </c>
      <c r="C183" s="72">
        <v>75</v>
      </c>
      <c r="D183" s="72">
        <v>600000</v>
      </c>
      <c r="E183" s="64">
        <v>0.79</v>
      </c>
      <c r="F183" s="40" t="s">
        <v>219</v>
      </c>
      <c r="G183" s="65">
        <f>SUM($D$180:D183)/$D$200</f>
        <v>0.79033904070756322</v>
      </c>
      <c r="H183" s="74"/>
    </row>
    <row r="184" spans="1:8" x14ac:dyDescent="0.25">
      <c r="A184" s="10" t="s">
        <v>223</v>
      </c>
      <c r="B184" s="72">
        <v>2500</v>
      </c>
      <c r="C184" s="72">
        <v>120</v>
      </c>
      <c r="D184" s="72">
        <v>300000</v>
      </c>
      <c r="E184" s="64">
        <v>0.85799999999999998</v>
      </c>
      <c r="F184" s="40" t="s">
        <v>224</v>
      </c>
      <c r="G184" s="65">
        <f>SUM($D$180:D184)/$D$200</f>
        <v>0.85837396530218846</v>
      </c>
      <c r="H184" s="74"/>
    </row>
    <row r="185" spans="1:8" x14ac:dyDescent="0.25">
      <c r="A185" s="10" t="s">
        <v>225</v>
      </c>
      <c r="B185" s="72">
        <v>10000</v>
      </c>
      <c r="C185" s="72">
        <v>25</v>
      </c>
      <c r="D185" s="72">
        <v>250000</v>
      </c>
      <c r="E185" s="64">
        <v>0.91500000000000004</v>
      </c>
      <c r="F185" s="40" t="s">
        <v>224</v>
      </c>
      <c r="G185" s="65">
        <f>SUM($D$180:D185)/$D$200</f>
        <v>0.91506973579770945</v>
      </c>
      <c r="H185" s="74"/>
    </row>
    <row r="186" spans="1:8" x14ac:dyDescent="0.25">
      <c r="A186" s="10" t="s">
        <v>226</v>
      </c>
      <c r="B186" s="72">
        <v>4000</v>
      </c>
      <c r="C186" s="72">
        <v>35</v>
      </c>
      <c r="D186" s="72">
        <v>140000</v>
      </c>
      <c r="E186" s="64">
        <v>0.94599999999999995</v>
      </c>
      <c r="F186" s="40" t="s">
        <v>224</v>
      </c>
      <c r="G186" s="65">
        <f>SUM($D$180:D186)/$D$200</f>
        <v>0.94681936727520122</v>
      </c>
      <c r="H186" s="74"/>
    </row>
    <row r="187" spans="1:8" x14ac:dyDescent="0.25">
      <c r="A187" s="10" t="s">
        <v>227</v>
      </c>
      <c r="B187" s="72">
        <v>6000</v>
      </c>
      <c r="C187" s="72">
        <v>15</v>
      </c>
      <c r="D187" s="72">
        <v>90000</v>
      </c>
      <c r="E187" s="64">
        <v>0.96699999999999997</v>
      </c>
      <c r="F187" s="40" t="s">
        <v>224</v>
      </c>
      <c r="G187" s="65">
        <f>SUM($D$180:D187)/$D$200</f>
        <v>0.96722984465358885</v>
      </c>
      <c r="H187" s="74"/>
    </row>
    <row r="188" spans="1:8" x14ac:dyDescent="0.25">
      <c r="A188" s="10" t="s">
        <v>228</v>
      </c>
      <c r="B188" s="72">
        <v>2000</v>
      </c>
      <c r="C188" s="72">
        <v>25</v>
      </c>
      <c r="D188" s="72">
        <v>50000</v>
      </c>
      <c r="E188" s="64">
        <v>0.97799999999999998</v>
      </c>
      <c r="F188" s="40" t="s">
        <v>229</v>
      </c>
      <c r="G188" s="65">
        <f>SUM($D$180:D188)/$D$200</f>
        <v>0.9785689987526931</v>
      </c>
      <c r="H188" s="74"/>
    </row>
    <row r="189" spans="1:8" x14ac:dyDescent="0.25">
      <c r="A189" s="10" t="s">
        <v>230</v>
      </c>
      <c r="B189" s="72">
        <v>1200</v>
      </c>
      <c r="C189" s="72">
        <v>20</v>
      </c>
      <c r="D189" s="72">
        <v>24000</v>
      </c>
      <c r="E189" s="64">
        <v>0.98399999999999999</v>
      </c>
      <c r="F189" s="40" t="s">
        <v>229</v>
      </c>
      <c r="G189" s="65">
        <f>SUM($D$180:D189)/$D$200</f>
        <v>0.98401179272026307</v>
      </c>
      <c r="H189" s="74"/>
    </row>
    <row r="190" spans="1:8" x14ac:dyDescent="0.25">
      <c r="A190" s="10" t="s">
        <v>231</v>
      </c>
      <c r="B190" s="72">
        <v>800</v>
      </c>
      <c r="C190" s="72">
        <v>25</v>
      </c>
      <c r="D190" s="72">
        <v>20000</v>
      </c>
      <c r="E190" s="64">
        <v>0.98799999999999999</v>
      </c>
      <c r="F190" s="40" t="s">
        <v>229</v>
      </c>
      <c r="G190" s="65">
        <f>SUM($D$180:D190)/$D$200</f>
        <v>0.98854745435990476</v>
      </c>
      <c r="H190" s="74"/>
    </row>
    <row r="191" spans="1:8" x14ac:dyDescent="0.25">
      <c r="A191" s="10" t="s">
        <v>232</v>
      </c>
      <c r="B191" s="72">
        <v>1500</v>
      </c>
      <c r="C191" s="72">
        <v>10</v>
      </c>
      <c r="D191" s="72">
        <v>15000</v>
      </c>
      <c r="E191" s="64">
        <v>0.99199999999999999</v>
      </c>
      <c r="F191" s="40" t="s">
        <v>229</v>
      </c>
      <c r="G191" s="65">
        <f>SUM($D$180:D191)/$D$200</f>
        <v>0.99194920058963598</v>
      </c>
      <c r="H191" s="74"/>
    </row>
    <row r="192" spans="1:8" x14ac:dyDescent="0.25">
      <c r="A192" s="10" t="s">
        <v>233</v>
      </c>
      <c r="B192" s="72">
        <v>500</v>
      </c>
      <c r="C192" s="72">
        <v>25</v>
      </c>
      <c r="D192" s="72">
        <v>12500</v>
      </c>
      <c r="E192" s="64">
        <v>0.99399999999999999</v>
      </c>
      <c r="F192" s="40" t="s">
        <v>229</v>
      </c>
      <c r="G192" s="65">
        <f>SUM($D$180:D192)/$D$200</f>
        <v>0.99478398911441202</v>
      </c>
      <c r="H192" s="74"/>
    </row>
    <row r="193" spans="1:8" x14ac:dyDescent="0.25">
      <c r="A193" s="10" t="s">
        <v>234</v>
      </c>
      <c r="B193" s="72">
        <v>2000</v>
      </c>
      <c r="C193" s="72">
        <v>5</v>
      </c>
      <c r="D193" s="72">
        <v>10000</v>
      </c>
      <c r="E193" s="64">
        <v>0.997</v>
      </c>
      <c r="F193" s="40" t="s">
        <v>229</v>
      </c>
      <c r="G193" s="65">
        <f>SUM($D$180:D193)/$D$200</f>
        <v>0.99705181993423286</v>
      </c>
      <c r="H193" s="74"/>
    </row>
    <row r="194" spans="1:8" x14ac:dyDescent="0.25">
      <c r="A194" s="10" t="s">
        <v>235</v>
      </c>
      <c r="B194" s="72">
        <v>300</v>
      </c>
      <c r="C194" s="72">
        <v>20</v>
      </c>
      <c r="D194" s="72">
        <v>6000</v>
      </c>
      <c r="E194" s="64">
        <v>0.998</v>
      </c>
      <c r="F194" s="40" t="s">
        <v>229</v>
      </c>
      <c r="G194" s="65">
        <f>SUM($D$180:D194)/$D$200</f>
        <v>0.99841251842612544</v>
      </c>
      <c r="H194" s="74"/>
    </row>
    <row r="195" spans="1:8" x14ac:dyDescent="0.25">
      <c r="A195" s="10" t="s">
        <v>236</v>
      </c>
      <c r="B195" s="72">
        <v>1000</v>
      </c>
      <c r="C195" s="72">
        <v>4</v>
      </c>
      <c r="D195" s="72">
        <v>4000</v>
      </c>
      <c r="E195" s="64">
        <v>0.999</v>
      </c>
      <c r="F195" s="40" t="s">
        <v>229</v>
      </c>
      <c r="G195" s="65">
        <f>SUM($D$180:D195)/$D$200</f>
        <v>0.99931965075405371</v>
      </c>
      <c r="H195" s="74"/>
    </row>
    <row r="196" spans="1:8" x14ac:dyDescent="0.25">
      <c r="A196" s="10" t="s">
        <v>237</v>
      </c>
      <c r="B196" s="72">
        <v>100</v>
      </c>
      <c r="C196" s="72">
        <v>15</v>
      </c>
      <c r="D196" s="72">
        <v>1500</v>
      </c>
      <c r="E196" s="64">
        <v>0.999</v>
      </c>
      <c r="F196" s="40" t="s">
        <v>229</v>
      </c>
      <c r="G196" s="65">
        <f>SUM($D$180:D196)/$D$200</f>
        <v>0.99965982537702691</v>
      </c>
      <c r="H196" s="74"/>
    </row>
    <row r="197" spans="1:8" x14ac:dyDescent="0.25">
      <c r="A197" s="10" t="s">
        <v>238</v>
      </c>
      <c r="B197" s="72">
        <v>50</v>
      </c>
      <c r="C197" s="72">
        <v>20</v>
      </c>
      <c r="D197" s="72">
        <v>1000</v>
      </c>
      <c r="E197" s="73">
        <v>1</v>
      </c>
      <c r="F197" s="40" t="s">
        <v>229</v>
      </c>
      <c r="G197" s="65">
        <f>SUM($D$180:D197)/$D$200</f>
        <v>0.99988660845900901</v>
      </c>
      <c r="H197" s="74"/>
    </row>
    <row r="198" spans="1:8" x14ac:dyDescent="0.25">
      <c r="A198" s="10" t="s">
        <v>239</v>
      </c>
      <c r="B198" s="72">
        <v>200</v>
      </c>
      <c r="C198" s="72">
        <v>2</v>
      </c>
      <c r="D198" s="72">
        <v>400</v>
      </c>
      <c r="E198" s="73">
        <v>1</v>
      </c>
      <c r="F198" s="40" t="s">
        <v>229</v>
      </c>
      <c r="G198" s="65">
        <f>SUM($D$180:D198)/$D$200</f>
        <v>0.99997732169180176</v>
      </c>
      <c r="H198" s="74"/>
    </row>
    <row r="199" spans="1:8" x14ac:dyDescent="0.25">
      <c r="A199" s="10" t="s">
        <v>240</v>
      </c>
      <c r="B199" s="72">
        <v>10</v>
      </c>
      <c r="C199" s="72">
        <v>10</v>
      </c>
      <c r="D199" s="72">
        <v>100</v>
      </c>
      <c r="E199" s="73">
        <v>1</v>
      </c>
      <c r="F199" s="40" t="s">
        <v>229</v>
      </c>
      <c r="G199" s="65">
        <f>SUM($D$180:D199)/$D$200</f>
        <v>1</v>
      </c>
      <c r="H199" s="74"/>
    </row>
    <row r="200" spans="1:8" x14ac:dyDescent="0.25">
      <c r="D200">
        <f>SUM(D180:D199)</f>
        <v>4409500</v>
      </c>
    </row>
    <row r="202" spans="1:8" x14ac:dyDescent="0.25">
      <c r="A202" s="30" t="s">
        <v>298</v>
      </c>
      <c r="B202" s="63"/>
    </row>
    <row r="203" spans="1:8" x14ac:dyDescent="0.25">
      <c r="A203" s="12" t="s">
        <v>283</v>
      </c>
      <c r="B203" s="12" t="s">
        <v>284</v>
      </c>
      <c r="C203" s="12" t="s">
        <v>285</v>
      </c>
      <c r="D203" s="12" t="s">
        <v>286</v>
      </c>
      <c r="E203" s="79" t="s">
        <v>246</v>
      </c>
      <c r="F203" s="79" t="s">
        <v>247</v>
      </c>
      <c r="G203" s="79" t="s">
        <v>248</v>
      </c>
    </row>
    <row r="204" spans="1:8" x14ac:dyDescent="0.25">
      <c r="A204" s="10" t="s">
        <v>249</v>
      </c>
      <c r="B204" s="10" t="s">
        <v>250</v>
      </c>
      <c r="C204" s="75">
        <v>0.33333333333333331</v>
      </c>
      <c r="D204" s="75">
        <v>0.33680555555555558</v>
      </c>
      <c r="E204" s="10">
        <f>(D204-C204)*1440</f>
        <v>5.0000000000000622</v>
      </c>
      <c r="F204" s="40" t="str">
        <f>IF((D204-C204)*1440 &gt; 15, "Late", IF((D204-C204)*1440 &lt; -30, "Early", "Compliant"))</f>
        <v>Compliant</v>
      </c>
      <c r="G204" s="73">
        <f>IF(AND((D204-C204)*1440 &lt;= 15, (D204-C204)*1440 &gt;= -30), 1, 0)</f>
        <v>1</v>
      </c>
      <c r="H204" s="82"/>
    </row>
    <row r="205" spans="1:8" x14ac:dyDescent="0.25">
      <c r="A205" s="10" t="s">
        <v>252</v>
      </c>
      <c r="B205" s="10" t="s">
        <v>253</v>
      </c>
      <c r="C205" s="75">
        <v>0.39583333333333331</v>
      </c>
      <c r="D205" s="75">
        <v>0.38541666666666669</v>
      </c>
      <c r="E205" s="10">
        <f t="shared" ref="E205:E213" si="16">(D205-C205)*1440</f>
        <v>-14.999999999999947</v>
      </c>
      <c r="F205" s="40" t="str">
        <f t="shared" ref="F205:F213" si="17">IF((D205-C205)*1440 &gt; 15, "Late", IF((D205-C205)*1440 &lt; -30, "Early", "Compliant"))</f>
        <v>Compliant</v>
      </c>
      <c r="G205" s="73">
        <f t="shared" ref="G205:G213" si="18">IF(AND((D205-C205)*1440 &lt;= 15, (D205-C205)*1440 &gt;= -30), 1, 0)</f>
        <v>1</v>
      </c>
      <c r="H205" s="82"/>
    </row>
    <row r="206" spans="1:8" x14ac:dyDescent="0.25">
      <c r="A206" s="10" t="s">
        <v>254</v>
      </c>
      <c r="B206" s="10" t="s">
        <v>255</v>
      </c>
      <c r="C206" s="75">
        <v>0.45833333333333331</v>
      </c>
      <c r="D206" s="75">
        <v>0.42708333333333331</v>
      </c>
      <c r="E206" s="10">
        <f t="shared" si="16"/>
        <v>-45</v>
      </c>
      <c r="F206" s="40" t="str">
        <f t="shared" si="17"/>
        <v>Early</v>
      </c>
      <c r="G206" s="73">
        <f t="shared" si="18"/>
        <v>0</v>
      </c>
      <c r="H206" s="82"/>
    </row>
    <row r="207" spans="1:8" x14ac:dyDescent="0.25">
      <c r="A207" s="10" t="s">
        <v>257</v>
      </c>
      <c r="B207" s="10" t="s">
        <v>258</v>
      </c>
      <c r="C207" s="75">
        <v>0.54166666666666663</v>
      </c>
      <c r="D207" s="75">
        <v>0.56944444444444442</v>
      </c>
      <c r="E207" s="10">
        <f t="shared" si="16"/>
        <v>40.000000000000014</v>
      </c>
      <c r="F207" s="40" t="str">
        <f t="shared" si="17"/>
        <v>Late</v>
      </c>
      <c r="G207" s="73">
        <f t="shared" si="18"/>
        <v>0</v>
      </c>
      <c r="H207" s="82"/>
    </row>
    <row r="208" spans="1:8" x14ac:dyDescent="0.25">
      <c r="A208" s="10" t="s">
        <v>260</v>
      </c>
      <c r="B208" s="10" t="s">
        <v>261</v>
      </c>
      <c r="C208" s="75">
        <v>0.60416666666666663</v>
      </c>
      <c r="D208" s="75">
        <v>0.60555555555555551</v>
      </c>
      <c r="E208" s="10">
        <f t="shared" si="16"/>
        <v>1.9999999999999929</v>
      </c>
      <c r="F208" s="40" t="str">
        <f t="shared" si="17"/>
        <v>Compliant</v>
      </c>
      <c r="G208" s="73">
        <f t="shared" si="18"/>
        <v>1</v>
      </c>
      <c r="H208" s="82"/>
    </row>
    <row r="209" spans="1:9" x14ac:dyDescent="0.25">
      <c r="A209" s="10" t="s">
        <v>262</v>
      </c>
      <c r="B209" s="10" t="s">
        <v>263</v>
      </c>
      <c r="C209" s="75">
        <v>0.66666666666666663</v>
      </c>
      <c r="D209" s="75">
        <v>0.67013888888888884</v>
      </c>
      <c r="E209" s="10">
        <f t="shared" si="16"/>
        <v>4.9999999999999822</v>
      </c>
      <c r="F209" s="40" t="str">
        <f t="shared" si="17"/>
        <v>Compliant</v>
      </c>
      <c r="G209" s="73">
        <f t="shared" si="18"/>
        <v>1</v>
      </c>
      <c r="H209" s="82"/>
    </row>
    <row r="210" spans="1:9" x14ac:dyDescent="0.25">
      <c r="A210" s="10" t="s">
        <v>264</v>
      </c>
      <c r="B210" s="10" t="s">
        <v>265</v>
      </c>
      <c r="C210" s="75">
        <v>0.33333333333333331</v>
      </c>
      <c r="D210" s="75">
        <v>0.38541666666666669</v>
      </c>
      <c r="E210" s="10">
        <f t="shared" si="16"/>
        <v>75.000000000000057</v>
      </c>
      <c r="F210" s="40" t="str">
        <f t="shared" si="17"/>
        <v>Late</v>
      </c>
      <c r="G210" s="73">
        <f t="shared" si="18"/>
        <v>0</v>
      </c>
      <c r="H210" s="82"/>
    </row>
    <row r="211" spans="1:9" x14ac:dyDescent="0.25">
      <c r="A211" s="10" t="s">
        <v>266</v>
      </c>
      <c r="B211" s="10" t="s">
        <v>267</v>
      </c>
      <c r="C211" s="75">
        <v>0.41666666666666669</v>
      </c>
      <c r="D211" s="75">
        <v>0.41805555555555557</v>
      </c>
      <c r="E211" s="10">
        <f t="shared" si="16"/>
        <v>1.9999999999999929</v>
      </c>
      <c r="F211" s="40" t="str">
        <f t="shared" si="17"/>
        <v>Compliant</v>
      </c>
      <c r="G211" s="73">
        <f t="shared" si="18"/>
        <v>1</v>
      </c>
      <c r="H211" s="82"/>
    </row>
    <row r="212" spans="1:9" x14ac:dyDescent="0.25">
      <c r="A212" s="10" t="s">
        <v>268</v>
      </c>
      <c r="B212" s="10" t="s">
        <v>269</v>
      </c>
      <c r="C212" s="75">
        <v>0.52083333333333337</v>
      </c>
      <c r="D212" s="75">
        <v>0.51041666666666663</v>
      </c>
      <c r="E212" s="10">
        <f t="shared" si="16"/>
        <v>-15.000000000000107</v>
      </c>
      <c r="F212" s="40" t="str">
        <f t="shared" si="17"/>
        <v>Compliant</v>
      </c>
      <c r="G212" s="73">
        <f t="shared" si="18"/>
        <v>1</v>
      </c>
      <c r="H212" s="82"/>
    </row>
    <row r="213" spans="1:9" x14ac:dyDescent="0.25">
      <c r="A213" s="10" t="s">
        <v>270</v>
      </c>
      <c r="B213" s="10" t="s">
        <v>271</v>
      </c>
      <c r="C213" s="75">
        <v>0.625</v>
      </c>
      <c r="D213" s="75">
        <v>0.59722222222222221</v>
      </c>
      <c r="E213" s="10">
        <f t="shared" si="16"/>
        <v>-40.000000000000014</v>
      </c>
      <c r="F213" s="40" t="str">
        <f t="shared" si="17"/>
        <v>Early</v>
      </c>
      <c r="G213" s="73">
        <f t="shared" si="18"/>
        <v>0</v>
      </c>
      <c r="H213" s="82"/>
    </row>
    <row r="216" spans="1:9" ht="17.25" x14ac:dyDescent="0.25">
      <c r="A216" s="77" t="s">
        <v>272</v>
      </c>
      <c r="B216" s="19"/>
    </row>
    <row r="217" spans="1:9" ht="17.25" x14ac:dyDescent="0.25">
      <c r="G217" s="54" t="s">
        <v>287</v>
      </c>
    </row>
    <row r="218" spans="1:9" x14ac:dyDescent="0.25">
      <c r="A218" s="78" t="s">
        <v>247</v>
      </c>
      <c r="B218" s="78" t="s">
        <v>273</v>
      </c>
      <c r="C218" s="78" t="s">
        <v>274</v>
      </c>
      <c r="D218" s="78" t="s">
        <v>275</v>
      </c>
      <c r="E218" s="78" t="s">
        <v>276</v>
      </c>
    </row>
    <row r="219" spans="1:9" x14ac:dyDescent="0.25">
      <c r="A219" s="40" t="s">
        <v>251</v>
      </c>
      <c r="B219" s="10">
        <v>6</v>
      </c>
      <c r="C219" s="10" t="s">
        <v>277</v>
      </c>
      <c r="D219" s="11">
        <v>0</v>
      </c>
      <c r="E219" s="11">
        <v>0</v>
      </c>
      <c r="G219" s="81" t="s">
        <v>288</v>
      </c>
      <c r="H219" s="81" t="s">
        <v>289</v>
      </c>
      <c r="I219" s="81" t="s">
        <v>290</v>
      </c>
    </row>
    <row r="220" spans="1:9" ht="28.5" x14ac:dyDescent="0.25">
      <c r="A220" s="40" t="s">
        <v>256</v>
      </c>
      <c r="B220" s="10">
        <v>2</v>
      </c>
      <c r="C220" s="10" t="s">
        <v>278</v>
      </c>
      <c r="D220" s="10" t="s">
        <v>279</v>
      </c>
      <c r="E220" s="11">
        <v>300</v>
      </c>
      <c r="G220" s="40" t="s">
        <v>291</v>
      </c>
      <c r="H220" s="80" t="s">
        <v>295</v>
      </c>
      <c r="I220" s="10" t="s">
        <v>292</v>
      </c>
    </row>
    <row r="221" spans="1:9" ht="28.5" x14ac:dyDescent="0.25">
      <c r="A221" s="40" t="s">
        <v>259</v>
      </c>
      <c r="B221" s="10">
        <v>2</v>
      </c>
      <c r="C221" s="10" t="s">
        <v>280</v>
      </c>
      <c r="D221" s="10" t="s">
        <v>281</v>
      </c>
      <c r="E221" s="11">
        <v>2300</v>
      </c>
      <c r="G221" s="40" t="s">
        <v>293</v>
      </c>
      <c r="H221" s="80" t="s">
        <v>296</v>
      </c>
      <c r="I221" s="10" t="s">
        <v>292</v>
      </c>
    </row>
    <row r="222" spans="1:9" x14ac:dyDescent="0.25">
      <c r="A222" s="40" t="s">
        <v>282</v>
      </c>
      <c r="B222" s="40">
        <v>10</v>
      </c>
      <c r="C222" s="10"/>
      <c r="D222" s="10"/>
      <c r="E222" s="76">
        <v>2600</v>
      </c>
      <c r="G222" s="40" t="s">
        <v>294</v>
      </c>
      <c r="H222" s="80" t="s">
        <v>297</v>
      </c>
      <c r="I222" s="10" t="s">
        <v>292</v>
      </c>
    </row>
    <row r="224" spans="1:9" x14ac:dyDescent="0.25">
      <c r="A224" s="85" t="s">
        <v>318</v>
      </c>
    </row>
    <row r="225" spans="1:7" x14ac:dyDescent="0.25">
      <c r="A225" s="12" t="s">
        <v>0</v>
      </c>
      <c r="B225" s="12" t="s">
        <v>160</v>
      </c>
      <c r="C225" s="12" t="s">
        <v>316</v>
      </c>
      <c r="D225" s="12" t="s">
        <v>317</v>
      </c>
      <c r="E225" s="66" t="s">
        <v>315</v>
      </c>
      <c r="F225" s="66" t="s">
        <v>247</v>
      </c>
    </row>
    <row r="226" spans="1:7" x14ac:dyDescent="0.25">
      <c r="A226" s="10" t="s">
        <v>299</v>
      </c>
      <c r="B226" s="10" t="s">
        <v>202</v>
      </c>
      <c r="C226" s="72">
        <v>500</v>
      </c>
      <c r="D226" s="10">
        <v>25</v>
      </c>
      <c r="E226" s="84">
        <f>D226/C226</f>
        <v>0.05</v>
      </c>
      <c r="F226" s="83" t="str">
        <f>IF(E226&lt;=0.02, "Excellent", IF(E226&lt;=0.08, "Normal", IF(E226&lt;=0.15, "High", "Critical")))</f>
        <v>Normal</v>
      </c>
    </row>
    <row r="227" spans="1:7" x14ac:dyDescent="0.25">
      <c r="A227" s="10" t="s">
        <v>300</v>
      </c>
      <c r="B227" s="10" t="s">
        <v>301</v>
      </c>
      <c r="C227" s="72">
        <v>1200</v>
      </c>
      <c r="D227" s="10">
        <v>180</v>
      </c>
      <c r="E227" s="84">
        <f t="shared" ref="E227:E235" si="19">D227/C227</f>
        <v>0.15</v>
      </c>
      <c r="F227" s="83" t="str">
        <f t="shared" ref="F227:F235" si="20">IF(E227&lt;=0.02, "Excellent", IF(E227&lt;=0.08, "Normal", IF(E227&lt;=0.15, "High", "Critical")))</f>
        <v>High</v>
      </c>
    </row>
    <row r="228" spans="1:7" x14ac:dyDescent="0.25">
      <c r="A228" s="10" t="s">
        <v>302</v>
      </c>
      <c r="B228" s="10" t="s">
        <v>303</v>
      </c>
      <c r="C228" s="72">
        <v>300</v>
      </c>
      <c r="D228" s="10">
        <v>12</v>
      </c>
      <c r="E228" s="84">
        <f t="shared" si="19"/>
        <v>0.04</v>
      </c>
      <c r="F228" s="83" t="str">
        <f t="shared" si="20"/>
        <v>Normal</v>
      </c>
    </row>
    <row r="229" spans="1:7" x14ac:dyDescent="0.25">
      <c r="A229" s="10" t="s">
        <v>304</v>
      </c>
      <c r="B229" s="10" t="s">
        <v>207</v>
      </c>
      <c r="C229" s="72">
        <v>850</v>
      </c>
      <c r="D229" s="10">
        <v>102</v>
      </c>
      <c r="E229" s="84">
        <f t="shared" si="19"/>
        <v>0.12</v>
      </c>
      <c r="F229" s="83" t="str">
        <f t="shared" si="20"/>
        <v>High</v>
      </c>
    </row>
    <row r="230" spans="1:7" x14ac:dyDescent="0.25">
      <c r="A230" s="10" t="s">
        <v>305</v>
      </c>
      <c r="B230" s="10" t="s">
        <v>306</v>
      </c>
      <c r="C230" s="72">
        <v>2000</v>
      </c>
      <c r="D230" s="10">
        <v>10</v>
      </c>
      <c r="E230" s="84">
        <f t="shared" si="19"/>
        <v>5.0000000000000001E-3</v>
      </c>
      <c r="F230" s="83" t="str">
        <f t="shared" si="20"/>
        <v>Excellent</v>
      </c>
    </row>
    <row r="231" spans="1:7" x14ac:dyDescent="0.25">
      <c r="A231" s="10" t="s">
        <v>307</v>
      </c>
      <c r="B231" s="10" t="s">
        <v>308</v>
      </c>
      <c r="C231" s="72">
        <v>600</v>
      </c>
      <c r="D231" s="10">
        <v>30</v>
      </c>
      <c r="E231" s="84">
        <f t="shared" si="19"/>
        <v>0.05</v>
      </c>
      <c r="F231" s="83" t="str">
        <f t="shared" si="20"/>
        <v>Normal</v>
      </c>
    </row>
    <row r="232" spans="1:7" x14ac:dyDescent="0.25">
      <c r="A232" s="10" t="s">
        <v>309</v>
      </c>
      <c r="B232" s="10" t="s">
        <v>209</v>
      </c>
      <c r="C232" s="72">
        <v>450</v>
      </c>
      <c r="D232" s="10">
        <v>15</v>
      </c>
      <c r="E232" s="84">
        <f t="shared" si="19"/>
        <v>3.3333333333333333E-2</v>
      </c>
      <c r="F232" s="83" t="str">
        <f t="shared" si="20"/>
        <v>Normal</v>
      </c>
    </row>
    <row r="233" spans="1:7" x14ac:dyDescent="0.25">
      <c r="A233" s="10" t="s">
        <v>310</v>
      </c>
      <c r="B233" s="10" t="s">
        <v>205</v>
      </c>
      <c r="C233" s="72">
        <v>5000</v>
      </c>
      <c r="D233" s="10">
        <v>5</v>
      </c>
      <c r="E233" s="84">
        <f t="shared" si="19"/>
        <v>1E-3</v>
      </c>
      <c r="F233" s="83" t="str">
        <f t="shared" si="20"/>
        <v>Excellent</v>
      </c>
    </row>
    <row r="234" spans="1:7" x14ac:dyDescent="0.25">
      <c r="A234" s="10" t="s">
        <v>311</v>
      </c>
      <c r="B234" s="10" t="s">
        <v>312</v>
      </c>
      <c r="C234" s="72">
        <v>150</v>
      </c>
      <c r="D234" s="10">
        <v>18</v>
      </c>
      <c r="E234" s="84">
        <f t="shared" si="19"/>
        <v>0.12</v>
      </c>
      <c r="F234" s="83" t="str">
        <f t="shared" si="20"/>
        <v>High</v>
      </c>
    </row>
    <row r="235" spans="1:7" x14ac:dyDescent="0.25">
      <c r="A235" s="10" t="s">
        <v>313</v>
      </c>
      <c r="B235" s="10" t="s">
        <v>314</v>
      </c>
      <c r="C235" s="72">
        <v>220</v>
      </c>
      <c r="D235" s="10">
        <v>11</v>
      </c>
      <c r="E235" s="84">
        <f t="shared" si="19"/>
        <v>0.05</v>
      </c>
      <c r="F235" s="83" t="str">
        <f t="shared" si="20"/>
        <v>Normal</v>
      </c>
    </row>
    <row r="237" spans="1:7" x14ac:dyDescent="0.25">
      <c r="A237" s="30" t="s">
        <v>319</v>
      </c>
      <c r="B237" s="63"/>
    </row>
    <row r="238" spans="1:7" x14ac:dyDescent="0.25">
      <c r="A238" s="12" t="s">
        <v>0</v>
      </c>
      <c r="B238" s="12" t="s">
        <v>160</v>
      </c>
      <c r="C238" s="12" t="s">
        <v>332</v>
      </c>
      <c r="D238" s="12" t="s">
        <v>4</v>
      </c>
      <c r="E238" s="87" t="s">
        <v>333</v>
      </c>
      <c r="F238" s="12" t="s">
        <v>334</v>
      </c>
      <c r="G238" s="87" t="s">
        <v>320</v>
      </c>
    </row>
    <row r="239" spans="1:7" x14ac:dyDescent="0.25">
      <c r="A239" s="10" t="s">
        <v>321</v>
      </c>
      <c r="B239" s="10" t="s">
        <v>202</v>
      </c>
      <c r="C239" s="86">
        <v>50000</v>
      </c>
      <c r="D239" s="86">
        <v>35000</v>
      </c>
      <c r="E239" s="88">
        <v>15000</v>
      </c>
      <c r="F239" s="86">
        <v>10000</v>
      </c>
      <c r="G239" s="89">
        <f>E239/F239</f>
        <v>1.5</v>
      </c>
    </row>
    <row r="240" spans="1:7" x14ac:dyDescent="0.25">
      <c r="A240" s="10" t="s">
        <v>322</v>
      </c>
      <c r="B240" s="10" t="s">
        <v>203</v>
      </c>
      <c r="C240" s="86">
        <v>12000</v>
      </c>
      <c r="D240" s="86">
        <v>4000</v>
      </c>
      <c r="E240" s="88">
        <v>8000</v>
      </c>
      <c r="F240" s="86">
        <v>2000</v>
      </c>
      <c r="G240" s="89">
        <f t="shared" ref="G240:G248" si="21">E240/F240</f>
        <v>4</v>
      </c>
    </row>
    <row r="241" spans="1:11" x14ac:dyDescent="0.25">
      <c r="A241" s="10" t="s">
        <v>323</v>
      </c>
      <c r="B241" s="10" t="s">
        <v>205</v>
      </c>
      <c r="C241" s="86">
        <v>80000</v>
      </c>
      <c r="D241" s="86">
        <v>70000</v>
      </c>
      <c r="E241" s="88">
        <v>10000</v>
      </c>
      <c r="F241" s="86">
        <v>2500</v>
      </c>
      <c r="G241" s="89">
        <f t="shared" si="21"/>
        <v>4</v>
      </c>
    </row>
    <row r="242" spans="1:11" x14ac:dyDescent="0.25">
      <c r="A242" s="10" t="s">
        <v>324</v>
      </c>
      <c r="B242" s="10" t="s">
        <v>312</v>
      </c>
      <c r="C242" s="86">
        <v>25000</v>
      </c>
      <c r="D242" s="86">
        <v>15000</v>
      </c>
      <c r="E242" s="88">
        <v>10000</v>
      </c>
      <c r="F242" s="86">
        <v>12000</v>
      </c>
      <c r="G242" s="89">
        <f t="shared" si="21"/>
        <v>0.83333333333333337</v>
      </c>
    </row>
    <row r="243" spans="1:11" x14ac:dyDescent="0.25">
      <c r="A243" s="10" t="s">
        <v>325</v>
      </c>
      <c r="B243" s="10" t="s">
        <v>206</v>
      </c>
      <c r="C243" s="86">
        <v>18000</v>
      </c>
      <c r="D243" s="86">
        <v>6000</v>
      </c>
      <c r="E243" s="88">
        <v>12000</v>
      </c>
      <c r="F243" s="86">
        <v>3000</v>
      </c>
      <c r="G243" s="89">
        <f t="shared" si="21"/>
        <v>4</v>
      </c>
    </row>
    <row r="244" spans="1:11" x14ac:dyDescent="0.25">
      <c r="A244" s="10" t="s">
        <v>326</v>
      </c>
      <c r="B244" s="10" t="s">
        <v>207</v>
      </c>
      <c r="C244" s="86">
        <v>30000</v>
      </c>
      <c r="D244" s="86">
        <v>18000</v>
      </c>
      <c r="E244" s="88">
        <v>12000</v>
      </c>
      <c r="F244" s="86">
        <v>6000</v>
      </c>
      <c r="G244" s="89">
        <f t="shared" si="21"/>
        <v>2</v>
      </c>
    </row>
    <row r="245" spans="1:11" x14ac:dyDescent="0.25">
      <c r="A245" s="10" t="s">
        <v>327</v>
      </c>
      <c r="B245" s="10" t="s">
        <v>209</v>
      </c>
      <c r="C245" s="86">
        <v>15000</v>
      </c>
      <c r="D245" s="86">
        <v>9000</v>
      </c>
      <c r="E245" s="88">
        <v>6000</v>
      </c>
      <c r="F245" s="86">
        <v>4000</v>
      </c>
      <c r="G245" s="89">
        <f t="shared" si="21"/>
        <v>1.5</v>
      </c>
    </row>
    <row r="246" spans="1:11" x14ac:dyDescent="0.25">
      <c r="A246" s="10" t="s">
        <v>328</v>
      </c>
      <c r="B246" s="10" t="s">
        <v>329</v>
      </c>
      <c r="C246" s="86">
        <v>100000</v>
      </c>
      <c r="D246" s="86">
        <v>60000</v>
      </c>
      <c r="E246" s="88">
        <v>40000</v>
      </c>
      <c r="F246" s="86">
        <v>50000</v>
      </c>
      <c r="G246" s="89">
        <f t="shared" si="21"/>
        <v>0.8</v>
      </c>
    </row>
    <row r="247" spans="1:11" x14ac:dyDescent="0.25">
      <c r="A247" s="10" t="s">
        <v>330</v>
      </c>
      <c r="B247" s="10" t="s">
        <v>303</v>
      </c>
      <c r="C247" s="86">
        <v>22000</v>
      </c>
      <c r="D247" s="86">
        <v>11000</v>
      </c>
      <c r="E247" s="88">
        <v>11000</v>
      </c>
      <c r="F247" s="86">
        <v>5500</v>
      </c>
      <c r="G247" s="89">
        <f t="shared" si="21"/>
        <v>2</v>
      </c>
    </row>
    <row r="248" spans="1:11" x14ac:dyDescent="0.25">
      <c r="A248" s="10" t="s">
        <v>331</v>
      </c>
      <c r="B248" s="10" t="s">
        <v>211</v>
      </c>
      <c r="C248" s="86">
        <v>5000</v>
      </c>
      <c r="D248" s="86">
        <v>2000</v>
      </c>
      <c r="E248" s="88">
        <v>3000</v>
      </c>
      <c r="F248" s="86">
        <v>500</v>
      </c>
      <c r="G248" s="89">
        <f t="shared" si="21"/>
        <v>6</v>
      </c>
    </row>
    <row r="250" spans="1:11" x14ac:dyDescent="0.25">
      <c r="A250" s="30" t="s">
        <v>335</v>
      </c>
    </row>
    <row r="251" spans="1:11" x14ac:dyDescent="0.25">
      <c r="A251" s="96" t="s">
        <v>367</v>
      </c>
      <c r="B251" s="96"/>
      <c r="C251" s="96"/>
      <c r="D251" s="96"/>
      <c r="E251" s="96"/>
      <c r="F251" s="96"/>
    </row>
    <row r="253" spans="1:11" ht="17.25" x14ac:dyDescent="0.25">
      <c r="A253" s="54" t="s">
        <v>368</v>
      </c>
    </row>
    <row r="254" spans="1:11" x14ac:dyDescent="0.25">
      <c r="G254" s="60"/>
      <c r="J254" s="60"/>
      <c r="K254" s="60"/>
    </row>
    <row r="255" spans="1:11" ht="45" x14ac:dyDescent="0.25">
      <c r="A255" s="12" t="s">
        <v>385</v>
      </c>
      <c r="B255" s="12" t="s">
        <v>386</v>
      </c>
      <c r="C255" s="12" t="s">
        <v>389</v>
      </c>
      <c r="D255" s="12" t="s">
        <v>387</v>
      </c>
      <c r="E255" s="12" t="s">
        <v>388</v>
      </c>
      <c r="F255" s="12" t="s">
        <v>247</v>
      </c>
      <c r="G255" s="12" t="s">
        <v>382</v>
      </c>
      <c r="H255" s="12" t="s">
        <v>383</v>
      </c>
      <c r="I255" s="12" t="s">
        <v>384</v>
      </c>
      <c r="J255" s="12"/>
    </row>
    <row r="256" spans="1:11" ht="36.75" customHeight="1" x14ac:dyDescent="0.25">
      <c r="A256" s="10" t="s">
        <v>369</v>
      </c>
      <c r="B256" s="10" t="s">
        <v>370</v>
      </c>
      <c r="C256" s="10">
        <v>10</v>
      </c>
      <c r="D256" s="98">
        <v>11</v>
      </c>
      <c r="E256" s="10">
        <v>1</v>
      </c>
      <c r="F256" s="10" t="s">
        <v>259</v>
      </c>
      <c r="G256" s="109">
        <f>AVERAGE(D256:D260)</f>
        <v>10.8</v>
      </c>
      <c r="H256" s="103">
        <f>SQRT(14.8/4)</f>
        <v>1.9235384061671346</v>
      </c>
      <c r="I256" s="98">
        <f>(D256-$G$256)^2</f>
        <v>3.9999999999999716E-2</v>
      </c>
      <c r="J256" s="98" t="str">
        <f>"Sum of Avg_lead_time Sup-1:                    "&amp;SUM(I256:I260)</f>
        <v>Sum of Avg_lead_time Sup-1:                    14.8</v>
      </c>
      <c r="K256">
        <f>(D256-G256)</f>
        <v>0.19999999999999929</v>
      </c>
    </row>
    <row r="257" spans="1:10" x14ac:dyDescent="0.25">
      <c r="A257" s="10" t="s">
        <v>371</v>
      </c>
      <c r="B257" s="10" t="s">
        <v>370</v>
      </c>
      <c r="C257" s="10">
        <v>10</v>
      </c>
      <c r="D257" s="98">
        <v>9</v>
      </c>
      <c r="E257" s="10">
        <v>-1</v>
      </c>
      <c r="F257" s="10" t="s">
        <v>256</v>
      </c>
      <c r="G257" s="110">
        <f>AVERAGE(D261:D265)</f>
        <v>18.399999999999999</v>
      </c>
      <c r="H257" s="104"/>
      <c r="I257" s="98">
        <f t="shared" ref="I257:I260" si="22">(D257-$G$256)^2</f>
        <v>3.2400000000000024</v>
      </c>
      <c r="J257" s="102" t="str">
        <f xml:space="preserve"> "n-1:                    " &amp; COUNT(I256:I260)-1</f>
        <v>n-1:                    4</v>
      </c>
    </row>
    <row r="258" spans="1:10" x14ac:dyDescent="0.25">
      <c r="A258" s="10" t="s">
        <v>372</v>
      </c>
      <c r="B258" s="10" t="s">
        <v>370</v>
      </c>
      <c r="C258" s="10">
        <v>10</v>
      </c>
      <c r="D258" s="98">
        <v>10</v>
      </c>
      <c r="E258" s="10">
        <v>0</v>
      </c>
      <c r="F258" s="10" t="s">
        <v>373</v>
      </c>
      <c r="G258" s="101">
        <f>SUM(I256:I260)</f>
        <v>14.799999999999999</v>
      </c>
      <c r="H258" s="104"/>
      <c r="I258" s="98">
        <f t="shared" si="22"/>
        <v>0.64000000000000112</v>
      </c>
      <c r="J258" s="102" t="str">
        <f>"Sum  &amp; Divide:"&amp;G258/G259</f>
        <v>Sum  &amp; Divide:3.7</v>
      </c>
    </row>
    <row r="259" spans="1:10" ht="30" x14ac:dyDescent="0.25">
      <c r="A259" s="10" t="s">
        <v>374</v>
      </c>
      <c r="B259" s="10" t="s">
        <v>370</v>
      </c>
      <c r="C259" s="10">
        <v>10</v>
      </c>
      <c r="D259" s="98">
        <v>14</v>
      </c>
      <c r="E259" s="10">
        <v>4</v>
      </c>
      <c r="F259" s="10" t="s">
        <v>259</v>
      </c>
      <c r="G259" s="101">
        <f>COUNT(I256:I260)-1</f>
        <v>4</v>
      </c>
      <c r="H259" s="104"/>
      <c r="I259" s="98">
        <f t="shared" si="22"/>
        <v>10.239999999999995</v>
      </c>
      <c r="J259" s="108" t="str">
        <f>"Square-Root:  "&amp;SQRT(G260)</f>
        <v>Square-Root:  1.92353840616713</v>
      </c>
    </row>
    <row r="260" spans="1:10" x14ac:dyDescent="0.25">
      <c r="A260" s="10" t="s">
        <v>375</v>
      </c>
      <c r="B260" s="10" t="s">
        <v>370</v>
      </c>
      <c r="C260" s="10">
        <v>10</v>
      </c>
      <c r="D260" s="98">
        <v>10</v>
      </c>
      <c r="E260" s="10">
        <v>0</v>
      </c>
      <c r="F260" s="10" t="s">
        <v>373</v>
      </c>
      <c r="G260" s="101">
        <f>G258/G259</f>
        <v>3.6999999999999997</v>
      </c>
      <c r="H260" s="104"/>
      <c r="I260" s="98">
        <f t="shared" si="22"/>
        <v>0.64000000000000112</v>
      </c>
      <c r="J260" s="95"/>
    </row>
    <row r="261" spans="1:10" ht="33.75" customHeight="1" x14ac:dyDescent="0.25">
      <c r="A261" s="10" t="s">
        <v>376</v>
      </c>
      <c r="B261" s="10" t="s">
        <v>377</v>
      </c>
      <c r="C261" s="10">
        <v>15</v>
      </c>
      <c r="D261" s="100">
        <v>15</v>
      </c>
      <c r="E261" s="10">
        <v>0</v>
      </c>
      <c r="F261" s="10" t="s">
        <v>373</v>
      </c>
      <c r="G261" s="100">
        <f>SUM(I261:I265)</f>
        <v>93.199999999999989</v>
      </c>
      <c r="H261" s="103">
        <f>SQRT(93.2/4)</f>
        <v>4.8270073544588685</v>
      </c>
      <c r="I261" s="100">
        <f>(D261-$G$257)^2</f>
        <v>11.55999999999999</v>
      </c>
      <c r="J261" s="105" t="str">
        <f>"Sum of Avg_lead_time Sup-2:                      "&amp;SUM(I261:I265)</f>
        <v>Sum of Avg_lead_time Sup-2:                      93.2</v>
      </c>
    </row>
    <row r="262" spans="1:10" x14ac:dyDescent="0.25">
      <c r="A262" s="10" t="s">
        <v>378</v>
      </c>
      <c r="B262" s="10" t="s">
        <v>377</v>
      </c>
      <c r="C262" s="10">
        <v>15</v>
      </c>
      <c r="D262" s="100">
        <v>22</v>
      </c>
      <c r="E262" s="10">
        <v>7</v>
      </c>
      <c r="F262" s="10" t="s">
        <v>259</v>
      </c>
      <c r="G262" s="100">
        <f>COUNT(I261:I265)-1</f>
        <v>4</v>
      </c>
      <c r="H262" s="104"/>
      <c r="I262" s="100">
        <f t="shared" ref="I262:I265" si="23">(D262-$G$257)^2</f>
        <v>12.96000000000001</v>
      </c>
      <c r="J262" s="106" t="str">
        <f xml:space="preserve"> "n-1:                    " &amp; COUNT(I261:I265)-1</f>
        <v>n-1:                    4</v>
      </c>
    </row>
    <row r="263" spans="1:10" x14ac:dyDescent="0.25">
      <c r="A263" s="10" t="s">
        <v>379</v>
      </c>
      <c r="B263" s="10" t="s">
        <v>377</v>
      </c>
      <c r="C263" s="10">
        <v>15</v>
      </c>
      <c r="D263" s="100">
        <v>14</v>
      </c>
      <c r="E263" s="10">
        <v>-1</v>
      </c>
      <c r="F263" s="10" t="s">
        <v>256</v>
      </c>
      <c r="G263" s="100">
        <f>G261/G262</f>
        <v>23.299999999999997</v>
      </c>
      <c r="H263" s="95"/>
      <c r="I263" s="100">
        <f t="shared" si="23"/>
        <v>19.359999999999989</v>
      </c>
      <c r="J263" s="106" t="str">
        <f>"Sum  &amp; Divide:"&amp;G261/G262</f>
        <v>Sum  &amp; Divide:23.3</v>
      </c>
    </row>
    <row r="264" spans="1:10" ht="30" x14ac:dyDescent="0.25">
      <c r="A264" s="10" t="s">
        <v>380</v>
      </c>
      <c r="B264" s="10" t="s">
        <v>377</v>
      </c>
      <c r="C264" s="10">
        <v>15</v>
      </c>
      <c r="D264" s="100">
        <v>16</v>
      </c>
      <c r="E264" s="10">
        <v>1</v>
      </c>
      <c r="F264" s="10" t="s">
        <v>259</v>
      </c>
      <c r="G264" s="100"/>
      <c r="H264" s="95"/>
      <c r="I264" s="100">
        <f t="shared" si="23"/>
        <v>5.7599999999999936</v>
      </c>
      <c r="J264" s="107" t="str">
        <f>"Square-Root:  "&amp;SQRT(G263)</f>
        <v>Square-Root:  4.82700735445887</v>
      </c>
    </row>
    <row r="265" spans="1:10" x14ac:dyDescent="0.25">
      <c r="A265" s="10" t="s">
        <v>381</v>
      </c>
      <c r="B265" s="10" t="s">
        <v>377</v>
      </c>
      <c r="C265" s="10">
        <v>15</v>
      </c>
      <c r="D265" s="100">
        <v>25</v>
      </c>
      <c r="E265" s="10">
        <v>10</v>
      </c>
      <c r="F265" s="10" t="s">
        <v>259</v>
      </c>
      <c r="G265" s="100"/>
      <c r="H265" s="95"/>
      <c r="I265" s="100">
        <f t="shared" si="23"/>
        <v>43.560000000000016</v>
      </c>
      <c r="J265" s="95"/>
    </row>
    <row r="267" spans="1:10" x14ac:dyDescent="0.25">
      <c r="A267" s="94" t="s">
        <v>336</v>
      </c>
      <c r="B267" s="94" t="s">
        <v>338</v>
      </c>
      <c r="C267" s="94" t="s">
        <v>337</v>
      </c>
      <c r="D267" s="94" t="s">
        <v>339</v>
      </c>
      <c r="E267" s="94" t="s">
        <v>340</v>
      </c>
      <c r="F267" s="94" t="s">
        <v>341</v>
      </c>
    </row>
    <row r="268" spans="1:10" x14ac:dyDescent="0.25">
      <c r="A268" s="90" t="s">
        <v>342</v>
      </c>
      <c r="B268" s="91">
        <v>10</v>
      </c>
      <c r="C268" s="91">
        <v>0.5</v>
      </c>
      <c r="D268" s="92">
        <v>0.05</v>
      </c>
      <c r="E268" s="90" t="s">
        <v>343</v>
      </c>
      <c r="F268" s="91" t="s">
        <v>344</v>
      </c>
    </row>
    <row r="269" spans="1:10" x14ac:dyDescent="0.25">
      <c r="A269" s="90" t="s">
        <v>345</v>
      </c>
      <c r="B269" s="91">
        <v>12</v>
      </c>
      <c r="C269" s="91">
        <v>4</v>
      </c>
      <c r="D269" s="92">
        <v>0.33</v>
      </c>
      <c r="E269" s="90" t="s">
        <v>346</v>
      </c>
      <c r="F269" s="91" t="s">
        <v>347</v>
      </c>
    </row>
    <row r="270" spans="1:10" x14ac:dyDescent="0.25">
      <c r="A270" s="90" t="s">
        <v>348</v>
      </c>
      <c r="B270" s="91">
        <v>45</v>
      </c>
      <c r="C270" s="91">
        <v>1.5</v>
      </c>
      <c r="D270" s="92">
        <v>0.03</v>
      </c>
      <c r="E270" s="90" t="s">
        <v>343</v>
      </c>
      <c r="F270" s="91" t="s">
        <v>349</v>
      </c>
    </row>
    <row r="271" spans="1:10" x14ac:dyDescent="0.25">
      <c r="A271" s="90" t="s">
        <v>350</v>
      </c>
      <c r="B271" s="91">
        <v>7</v>
      </c>
      <c r="C271" s="91">
        <v>2.5</v>
      </c>
      <c r="D271" s="92">
        <v>0.36</v>
      </c>
      <c r="E271" s="90" t="s">
        <v>346</v>
      </c>
      <c r="F271" s="91" t="s">
        <v>351</v>
      </c>
    </row>
    <row r="272" spans="1:10" x14ac:dyDescent="0.25">
      <c r="A272" s="90" t="s">
        <v>352</v>
      </c>
      <c r="B272" s="91">
        <v>20</v>
      </c>
      <c r="C272" s="91">
        <v>2.2000000000000002</v>
      </c>
      <c r="D272" s="92">
        <v>0.11</v>
      </c>
      <c r="E272" s="90" t="s">
        <v>353</v>
      </c>
      <c r="F272" s="91" t="s">
        <v>354</v>
      </c>
    </row>
    <row r="273" spans="1:8" x14ac:dyDescent="0.25">
      <c r="A273" s="90" t="s">
        <v>355</v>
      </c>
      <c r="B273" s="91">
        <v>15</v>
      </c>
      <c r="C273" s="91">
        <v>6</v>
      </c>
      <c r="D273" s="92">
        <v>0.4</v>
      </c>
      <c r="E273" s="90" t="s">
        <v>356</v>
      </c>
      <c r="F273" s="91" t="s">
        <v>357</v>
      </c>
    </row>
    <row r="274" spans="1:8" x14ac:dyDescent="0.25">
      <c r="A274" s="90" t="s">
        <v>358</v>
      </c>
      <c r="B274" s="91">
        <v>30</v>
      </c>
      <c r="C274" s="91">
        <v>3.5</v>
      </c>
      <c r="D274" s="92">
        <v>0.12</v>
      </c>
      <c r="E274" s="90" t="s">
        <v>353</v>
      </c>
      <c r="F274" s="91" t="s">
        <v>359</v>
      </c>
    </row>
    <row r="275" spans="1:8" x14ac:dyDescent="0.25">
      <c r="A275" s="90" t="s">
        <v>360</v>
      </c>
      <c r="B275" s="91">
        <v>5</v>
      </c>
      <c r="C275" s="91">
        <v>2</v>
      </c>
      <c r="D275" s="92">
        <v>0.4</v>
      </c>
      <c r="E275" s="90" t="s">
        <v>356</v>
      </c>
      <c r="F275" s="91" t="s">
        <v>361</v>
      </c>
    </row>
    <row r="276" spans="1:8" x14ac:dyDescent="0.25">
      <c r="A276" s="90" t="s">
        <v>362</v>
      </c>
      <c r="B276" s="91">
        <v>60</v>
      </c>
      <c r="C276" s="91">
        <v>4.5</v>
      </c>
      <c r="D276" s="93">
        <v>7.4999999999999997E-2</v>
      </c>
      <c r="E276" s="90" t="s">
        <v>343</v>
      </c>
      <c r="F276" s="91" t="s">
        <v>363</v>
      </c>
    </row>
    <row r="277" spans="1:8" x14ac:dyDescent="0.25">
      <c r="A277" s="90" t="s">
        <v>364</v>
      </c>
      <c r="B277" s="91">
        <v>14</v>
      </c>
      <c r="C277" s="91">
        <v>2.8</v>
      </c>
      <c r="D277" s="92">
        <v>0.2</v>
      </c>
      <c r="E277" s="90" t="s">
        <v>365</v>
      </c>
      <c r="F277" s="91" t="s">
        <v>366</v>
      </c>
    </row>
    <row r="282" spans="1:8" ht="17.25" x14ac:dyDescent="0.25">
      <c r="A282" s="113" t="s">
        <v>476</v>
      </c>
      <c r="B282" s="99"/>
    </row>
    <row r="284" spans="1:8" ht="30" x14ac:dyDescent="0.25">
      <c r="A284" s="12" t="s">
        <v>105</v>
      </c>
      <c r="B284" s="12" t="s">
        <v>453</v>
      </c>
      <c r="C284" s="12" t="s">
        <v>451</v>
      </c>
      <c r="D284" s="12" t="s">
        <v>452</v>
      </c>
      <c r="E284" s="12" t="s">
        <v>390</v>
      </c>
      <c r="F284" s="102" t="s">
        <v>448</v>
      </c>
      <c r="G284" s="102" t="s">
        <v>449</v>
      </c>
      <c r="H284" s="102" t="s">
        <v>450</v>
      </c>
    </row>
    <row r="285" spans="1:8" x14ac:dyDescent="0.25">
      <c r="A285" s="10" t="s">
        <v>391</v>
      </c>
      <c r="B285" s="10" t="s">
        <v>392</v>
      </c>
      <c r="C285" s="10" t="s">
        <v>392</v>
      </c>
      <c r="D285" s="10" t="s">
        <v>392</v>
      </c>
      <c r="E285" s="40" t="str">
        <f>IF(AND(B285="yes",C285="yes",D285="yes"), "Yes","No")</f>
        <v>Yes</v>
      </c>
      <c r="F285" s="112">
        <f>COUNTIF(B284:B334,"Yes") / COUNTA(B285:B334)</f>
        <v>0.86</v>
      </c>
      <c r="G285" s="112">
        <f t="shared" ref="G285:H285" si="24">COUNTIF(C284:C334,"Yes") / COUNTA(C285:C334)</f>
        <v>0.86</v>
      </c>
      <c r="H285" s="112">
        <f t="shared" si="24"/>
        <v>0.88</v>
      </c>
    </row>
    <row r="286" spans="1:8" x14ac:dyDescent="0.25">
      <c r="A286" s="10" t="s">
        <v>393</v>
      </c>
      <c r="B286" s="10" t="s">
        <v>392</v>
      </c>
      <c r="C286" s="10" t="s">
        <v>392</v>
      </c>
      <c r="D286" s="10" t="s">
        <v>394</v>
      </c>
      <c r="E286" s="40" t="str">
        <f t="shared" ref="E286:E334" si="25">IF(AND(B286="yes",C286="yes",D286="yes"), "Yes","No")</f>
        <v>No</v>
      </c>
    </row>
    <row r="287" spans="1:8" x14ac:dyDescent="0.25">
      <c r="A287" s="10" t="s">
        <v>395</v>
      </c>
      <c r="B287" s="10" t="s">
        <v>392</v>
      </c>
      <c r="C287" s="10" t="s">
        <v>396</v>
      </c>
      <c r="D287" s="10" t="s">
        <v>392</v>
      </c>
      <c r="E287" s="40" t="str">
        <f t="shared" si="25"/>
        <v>No</v>
      </c>
      <c r="F287" s="111">
        <f>F285*G285*H285</f>
        <v>0.65084799999999998</v>
      </c>
    </row>
    <row r="288" spans="1:8" x14ac:dyDescent="0.25">
      <c r="A288" s="10" t="s">
        <v>397</v>
      </c>
      <c r="B288" s="10" t="s">
        <v>392</v>
      </c>
      <c r="C288" s="10" t="s">
        <v>392</v>
      </c>
      <c r="D288" s="10" t="s">
        <v>392</v>
      </c>
      <c r="E288" s="40" t="str">
        <f t="shared" si="25"/>
        <v>Yes</v>
      </c>
    </row>
    <row r="289" spans="1:5" x14ac:dyDescent="0.25">
      <c r="A289" s="10" t="s">
        <v>398</v>
      </c>
      <c r="B289" s="10" t="s">
        <v>399</v>
      </c>
      <c r="C289" s="10" t="s">
        <v>392</v>
      </c>
      <c r="D289" s="10" t="s">
        <v>392</v>
      </c>
      <c r="E289" s="40" t="str">
        <f t="shared" si="25"/>
        <v>No</v>
      </c>
    </row>
    <row r="290" spans="1:5" x14ac:dyDescent="0.25">
      <c r="A290" s="10" t="s">
        <v>400</v>
      </c>
      <c r="B290" s="10" t="s">
        <v>392</v>
      </c>
      <c r="C290" s="10" t="s">
        <v>392</v>
      </c>
      <c r="D290" s="10" t="s">
        <v>392</v>
      </c>
      <c r="E290" s="40" t="str">
        <f t="shared" si="25"/>
        <v>Yes</v>
      </c>
    </row>
    <row r="291" spans="1:5" x14ac:dyDescent="0.25">
      <c r="A291" s="10" t="s">
        <v>401</v>
      </c>
      <c r="B291" s="10" t="s">
        <v>392</v>
      </c>
      <c r="C291" s="10" t="s">
        <v>392</v>
      </c>
      <c r="D291" s="10" t="s">
        <v>392</v>
      </c>
      <c r="E291" s="40" t="str">
        <f t="shared" si="25"/>
        <v>Yes</v>
      </c>
    </row>
    <row r="292" spans="1:5" x14ac:dyDescent="0.25">
      <c r="A292" s="10" t="s">
        <v>402</v>
      </c>
      <c r="B292" s="10" t="s">
        <v>392</v>
      </c>
      <c r="C292" s="10" t="s">
        <v>396</v>
      </c>
      <c r="D292" s="10" t="s">
        <v>403</v>
      </c>
      <c r="E292" s="40" t="str">
        <f t="shared" si="25"/>
        <v>No</v>
      </c>
    </row>
    <row r="293" spans="1:5" x14ac:dyDescent="0.25">
      <c r="A293" s="10" t="s">
        <v>404</v>
      </c>
      <c r="B293" s="10" t="s">
        <v>392</v>
      </c>
      <c r="C293" s="10" t="s">
        <v>392</v>
      </c>
      <c r="D293" s="10" t="s">
        <v>392</v>
      </c>
      <c r="E293" s="40" t="str">
        <f t="shared" si="25"/>
        <v>Yes</v>
      </c>
    </row>
    <row r="294" spans="1:5" x14ac:dyDescent="0.25">
      <c r="A294" s="10" t="s">
        <v>405</v>
      </c>
      <c r="B294" s="10" t="s">
        <v>392</v>
      </c>
      <c r="C294" s="10" t="s">
        <v>392</v>
      </c>
      <c r="D294" s="10" t="s">
        <v>392</v>
      </c>
      <c r="E294" s="40" t="str">
        <f t="shared" si="25"/>
        <v>Yes</v>
      </c>
    </row>
    <row r="295" spans="1:5" x14ac:dyDescent="0.25">
      <c r="A295" s="10" t="s">
        <v>406</v>
      </c>
      <c r="B295" s="10" t="s">
        <v>399</v>
      </c>
      <c r="C295" s="10" t="s">
        <v>392</v>
      </c>
      <c r="D295" s="10" t="s">
        <v>392</v>
      </c>
      <c r="E295" s="40" t="str">
        <f t="shared" si="25"/>
        <v>No</v>
      </c>
    </row>
    <row r="296" spans="1:5" x14ac:dyDescent="0.25">
      <c r="A296" s="10" t="s">
        <v>407</v>
      </c>
      <c r="B296" s="10" t="s">
        <v>392</v>
      </c>
      <c r="C296" s="10" t="s">
        <v>392</v>
      </c>
      <c r="D296" s="10" t="s">
        <v>392</v>
      </c>
      <c r="E296" s="40" t="str">
        <f t="shared" si="25"/>
        <v>Yes</v>
      </c>
    </row>
    <row r="297" spans="1:5" x14ac:dyDescent="0.25">
      <c r="A297" s="10" t="s">
        <v>408</v>
      </c>
      <c r="B297" s="10" t="s">
        <v>392</v>
      </c>
      <c r="C297" s="10" t="s">
        <v>392</v>
      </c>
      <c r="D297" s="10" t="s">
        <v>392</v>
      </c>
      <c r="E297" s="40" t="str">
        <f t="shared" si="25"/>
        <v>Yes</v>
      </c>
    </row>
    <row r="298" spans="1:5" x14ac:dyDescent="0.25">
      <c r="A298" s="10" t="s">
        <v>409</v>
      </c>
      <c r="B298" s="10" t="s">
        <v>392</v>
      </c>
      <c r="C298" s="10" t="s">
        <v>392</v>
      </c>
      <c r="D298" s="10" t="s">
        <v>394</v>
      </c>
      <c r="E298" s="40" t="str">
        <f t="shared" si="25"/>
        <v>No</v>
      </c>
    </row>
    <row r="299" spans="1:5" x14ac:dyDescent="0.25">
      <c r="A299" s="10" t="s">
        <v>410</v>
      </c>
      <c r="B299" s="10" t="s">
        <v>392</v>
      </c>
      <c r="C299" s="10" t="s">
        <v>392</v>
      </c>
      <c r="D299" s="10" t="s">
        <v>392</v>
      </c>
      <c r="E299" s="40" t="str">
        <f t="shared" si="25"/>
        <v>Yes</v>
      </c>
    </row>
    <row r="300" spans="1:5" x14ac:dyDescent="0.25">
      <c r="A300" s="10" t="s">
        <v>411</v>
      </c>
      <c r="B300" s="10" t="s">
        <v>399</v>
      </c>
      <c r="C300" s="10" t="s">
        <v>392</v>
      </c>
      <c r="D300" s="10" t="s">
        <v>392</v>
      </c>
      <c r="E300" s="40" t="str">
        <f t="shared" si="25"/>
        <v>No</v>
      </c>
    </row>
    <row r="301" spans="1:5" x14ac:dyDescent="0.25">
      <c r="A301" s="10" t="s">
        <v>412</v>
      </c>
      <c r="B301" s="10" t="s">
        <v>392</v>
      </c>
      <c r="C301" s="10" t="s">
        <v>392</v>
      </c>
      <c r="D301" s="10" t="s">
        <v>392</v>
      </c>
      <c r="E301" s="40" t="str">
        <f t="shared" si="25"/>
        <v>Yes</v>
      </c>
    </row>
    <row r="302" spans="1:5" x14ac:dyDescent="0.25">
      <c r="A302" s="10" t="s">
        <v>413</v>
      </c>
      <c r="B302" s="10" t="s">
        <v>392</v>
      </c>
      <c r="C302" s="10" t="s">
        <v>396</v>
      </c>
      <c r="D302" s="10" t="s">
        <v>392</v>
      </c>
      <c r="E302" s="40" t="str">
        <f t="shared" si="25"/>
        <v>No</v>
      </c>
    </row>
    <row r="303" spans="1:5" x14ac:dyDescent="0.25">
      <c r="A303" s="10" t="s">
        <v>414</v>
      </c>
      <c r="B303" s="10" t="s">
        <v>392</v>
      </c>
      <c r="C303" s="10" t="s">
        <v>392</v>
      </c>
      <c r="D303" s="10" t="s">
        <v>392</v>
      </c>
      <c r="E303" s="40" t="str">
        <f t="shared" si="25"/>
        <v>Yes</v>
      </c>
    </row>
    <row r="304" spans="1:5" x14ac:dyDescent="0.25">
      <c r="A304" s="10" t="s">
        <v>415</v>
      </c>
      <c r="B304" s="10" t="s">
        <v>392</v>
      </c>
      <c r="C304" s="10" t="s">
        <v>392</v>
      </c>
      <c r="D304" s="10" t="s">
        <v>392</v>
      </c>
      <c r="E304" s="40" t="str">
        <f t="shared" si="25"/>
        <v>Yes</v>
      </c>
    </row>
    <row r="305" spans="1:5" x14ac:dyDescent="0.25">
      <c r="A305" s="10" t="s">
        <v>416</v>
      </c>
      <c r="B305" s="10" t="s">
        <v>392</v>
      </c>
      <c r="C305" s="10" t="s">
        <v>392</v>
      </c>
      <c r="D305" s="10" t="s">
        <v>392</v>
      </c>
      <c r="E305" s="40" t="str">
        <f t="shared" si="25"/>
        <v>Yes</v>
      </c>
    </row>
    <row r="306" spans="1:5" x14ac:dyDescent="0.25">
      <c r="A306" s="10" t="s">
        <v>417</v>
      </c>
      <c r="B306" s="10" t="s">
        <v>392</v>
      </c>
      <c r="C306" s="10" t="s">
        <v>392</v>
      </c>
      <c r="D306" s="10" t="s">
        <v>392</v>
      </c>
      <c r="E306" s="40" t="str">
        <f t="shared" si="25"/>
        <v>Yes</v>
      </c>
    </row>
    <row r="307" spans="1:5" x14ac:dyDescent="0.25">
      <c r="A307" s="10" t="s">
        <v>418</v>
      </c>
      <c r="B307" s="10" t="s">
        <v>399</v>
      </c>
      <c r="C307" s="10" t="s">
        <v>392</v>
      </c>
      <c r="D307" s="10" t="s">
        <v>419</v>
      </c>
      <c r="E307" s="40" t="str">
        <f t="shared" si="25"/>
        <v>No</v>
      </c>
    </row>
    <row r="308" spans="1:5" x14ac:dyDescent="0.25">
      <c r="A308" s="10" t="s">
        <v>420</v>
      </c>
      <c r="B308" s="10" t="s">
        <v>392</v>
      </c>
      <c r="C308" s="10" t="s">
        <v>392</v>
      </c>
      <c r="D308" s="10" t="s">
        <v>392</v>
      </c>
      <c r="E308" s="40" t="str">
        <f t="shared" si="25"/>
        <v>Yes</v>
      </c>
    </row>
    <row r="309" spans="1:5" x14ac:dyDescent="0.25">
      <c r="A309" s="10" t="s">
        <v>421</v>
      </c>
      <c r="B309" s="10" t="s">
        <v>392</v>
      </c>
      <c r="C309" s="10" t="s">
        <v>392</v>
      </c>
      <c r="D309" s="10" t="s">
        <v>392</v>
      </c>
      <c r="E309" s="40" t="str">
        <f t="shared" si="25"/>
        <v>Yes</v>
      </c>
    </row>
    <row r="310" spans="1:5" x14ac:dyDescent="0.25">
      <c r="A310" s="10" t="s">
        <v>422</v>
      </c>
      <c r="B310" s="10" t="s">
        <v>392</v>
      </c>
      <c r="C310" s="10" t="s">
        <v>396</v>
      </c>
      <c r="D310" s="10" t="s">
        <v>392</v>
      </c>
      <c r="E310" s="40" t="str">
        <f t="shared" si="25"/>
        <v>No</v>
      </c>
    </row>
    <row r="311" spans="1:5" x14ac:dyDescent="0.25">
      <c r="A311" s="10" t="s">
        <v>423</v>
      </c>
      <c r="B311" s="10" t="s">
        <v>392</v>
      </c>
      <c r="C311" s="10" t="s">
        <v>392</v>
      </c>
      <c r="D311" s="10" t="s">
        <v>392</v>
      </c>
      <c r="E311" s="40" t="str">
        <f t="shared" si="25"/>
        <v>Yes</v>
      </c>
    </row>
    <row r="312" spans="1:5" x14ac:dyDescent="0.25">
      <c r="A312" s="10" t="s">
        <v>424</v>
      </c>
      <c r="B312" s="10" t="s">
        <v>392</v>
      </c>
      <c r="C312" s="10" t="s">
        <v>392</v>
      </c>
      <c r="D312" s="10" t="s">
        <v>392</v>
      </c>
      <c r="E312" s="40" t="str">
        <f t="shared" si="25"/>
        <v>Yes</v>
      </c>
    </row>
    <row r="313" spans="1:5" x14ac:dyDescent="0.25">
      <c r="A313" s="10" t="s">
        <v>425</v>
      </c>
      <c r="B313" s="10" t="s">
        <v>399</v>
      </c>
      <c r="C313" s="10" t="s">
        <v>392</v>
      </c>
      <c r="D313" s="10" t="s">
        <v>392</v>
      </c>
      <c r="E313" s="40" t="str">
        <f t="shared" si="25"/>
        <v>No</v>
      </c>
    </row>
    <row r="314" spans="1:5" x14ac:dyDescent="0.25">
      <c r="A314" s="10" t="s">
        <v>426</v>
      </c>
      <c r="B314" s="10" t="s">
        <v>392</v>
      </c>
      <c r="C314" s="10" t="s">
        <v>392</v>
      </c>
      <c r="D314" s="10" t="s">
        <v>392</v>
      </c>
      <c r="E314" s="40" t="str">
        <f t="shared" si="25"/>
        <v>Yes</v>
      </c>
    </row>
    <row r="315" spans="1:5" x14ac:dyDescent="0.25">
      <c r="A315" s="10" t="s">
        <v>427</v>
      </c>
      <c r="B315" s="10" t="s">
        <v>392</v>
      </c>
      <c r="C315" s="10" t="s">
        <v>392</v>
      </c>
      <c r="D315" s="10" t="s">
        <v>392</v>
      </c>
      <c r="E315" s="40" t="str">
        <f t="shared" si="25"/>
        <v>Yes</v>
      </c>
    </row>
    <row r="316" spans="1:5" x14ac:dyDescent="0.25">
      <c r="A316" s="10" t="s">
        <v>428</v>
      </c>
      <c r="B316" s="10" t="s">
        <v>392</v>
      </c>
      <c r="C316" s="10" t="s">
        <v>396</v>
      </c>
      <c r="D316" s="10" t="s">
        <v>392</v>
      </c>
      <c r="E316" s="40" t="str">
        <f t="shared" si="25"/>
        <v>No</v>
      </c>
    </row>
    <row r="317" spans="1:5" x14ac:dyDescent="0.25">
      <c r="A317" s="10" t="s">
        <v>429</v>
      </c>
      <c r="B317" s="10" t="s">
        <v>392</v>
      </c>
      <c r="C317" s="10" t="s">
        <v>392</v>
      </c>
      <c r="D317" s="10" t="s">
        <v>392</v>
      </c>
      <c r="E317" s="40" t="str">
        <f t="shared" si="25"/>
        <v>Yes</v>
      </c>
    </row>
    <row r="318" spans="1:5" x14ac:dyDescent="0.25">
      <c r="A318" s="10" t="s">
        <v>430</v>
      </c>
      <c r="B318" s="10" t="s">
        <v>392</v>
      </c>
      <c r="C318" s="10" t="s">
        <v>392</v>
      </c>
      <c r="D318" s="10" t="s">
        <v>392</v>
      </c>
      <c r="E318" s="40" t="str">
        <f t="shared" si="25"/>
        <v>Yes</v>
      </c>
    </row>
    <row r="319" spans="1:5" x14ac:dyDescent="0.25">
      <c r="A319" s="10" t="s">
        <v>431</v>
      </c>
      <c r="B319" s="10" t="s">
        <v>392</v>
      </c>
      <c r="C319" s="10" t="s">
        <v>392</v>
      </c>
      <c r="D319" s="10" t="s">
        <v>394</v>
      </c>
      <c r="E319" s="40" t="str">
        <f t="shared" si="25"/>
        <v>No</v>
      </c>
    </row>
    <row r="320" spans="1:5" x14ac:dyDescent="0.25">
      <c r="A320" s="10" t="s">
        <v>432</v>
      </c>
      <c r="B320" s="10" t="s">
        <v>392</v>
      </c>
      <c r="C320" s="10" t="s">
        <v>392</v>
      </c>
      <c r="D320" s="10" t="s">
        <v>392</v>
      </c>
      <c r="E320" s="40" t="str">
        <f t="shared" si="25"/>
        <v>Yes</v>
      </c>
    </row>
    <row r="321" spans="1:5" x14ac:dyDescent="0.25">
      <c r="A321" s="10" t="s">
        <v>433</v>
      </c>
      <c r="B321" s="10" t="s">
        <v>399</v>
      </c>
      <c r="C321" s="10" t="s">
        <v>392</v>
      </c>
      <c r="D321" s="10" t="s">
        <v>392</v>
      </c>
      <c r="E321" s="40" t="str">
        <f t="shared" si="25"/>
        <v>No</v>
      </c>
    </row>
    <row r="322" spans="1:5" x14ac:dyDescent="0.25">
      <c r="A322" s="10" t="s">
        <v>434</v>
      </c>
      <c r="B322" s="10" t="s">
        <v>392</v>
      </c>
      <c r="C322" s="10" t="s">
        <v>392</v>
      </c>
      <c r="D322" s="10" t="s">
        <v>392</v>
      </c>
      <c r="E322" s="40" t="str">
        <f t="shared" si="25"/>
        <v>Yes</v>
      </c>
    </row>
    <row r="323" spans="1:5" x14ac:dyDescent="0.25">
      <c r="A323" s="10" t="s">
        <v>435</v>
      </c>
      <c r="B323" s="10" t="s">
        <v>392</v>
      </c>
      <c r="C323" s="10" t="s">
        <v>392</v>
      </c>
      <c r="D323" s="10" t="s">
        <v>392</v>
      </c>
      <c r="E323" s="40" t="str">
        <f t="shared" si="25"/>
        <v>Yes</v>
      </c>
    </row>
    <row r="324" spans="1:5" x14ac:dyDescent="0.25">
      <c r="A324" s="10" t="s">
        <v>436</v>
      </c>
      <c r="B324" s="10" t="s">
        <v>392</v>
      </c>
      <c r="C324" s="10" t="s">
        <v>396</v>
      </c>
      <c r="D324" s="10" t="s">
        <v>392</v>
      </c>
      <c r="E324" s="40" t="str">
        <f t="shared" si="25"/>
        <v>No</v>
      </c>
    </row>
    <row r="325" spans="1:5" x14ac:dyDescent="0.25">
      <c r="A325" s="10" t="s">
        <v>437</v>
      </c>
      <c r="B325" s="10" t="s">
        <v>392</v>
      </c>
      <c r="C325" s="10" t="s">
        <v>392</v>
      </c>
      <c r="D325" s="10" t="s">
        <v>392</v>
      </c>
      <c r="E325" s="40" t="str">
        <f t="shared" si="25"/>
        <v>Yes</v>
      </c>
    </row>
    <row r="326" spans="1:5" x14ac:dyDescent="0.25">
      <c r="A326" s="10" t="s">
        <v>438</v>
      </c>
      <c r="B326" s="10" t="s">
        <v>392</v>
      </c>
      <c r="C326" s="10" t="s">
        <v>392</v>
      </c>
      <c r="D326" s="10" t="s">
        <v>392</v>
      </c>
      <c r="E326" s="40" t="str">
        <f t="shared" si="25"/>
        <v>Yes</v>
      </c>
    </row>
    <row r="327" spans="1:5" x14ac:dyDescent="0.25">
      <c r="A327" s="10" t="s">
        <v>439</v>
      </c>
      <c r="B327" s="10" t="s">
        <v>392</v>
      </c>
      <c r="C327" s="10" t="s">
        <v>392</v>
      </c>
      <c r="D327" s="10" t="s">
        <v>440</v>
      </c>
      <c r="E327" s="40" t="str">
        <f t="shared" si="25"/>
        <v>No</v>
      </c>
    </row>
    <row r="328" spans="1:5" x14ac:dyDescent="0.25">
      <c r="A328" s="10" t="s">
        <v>441</v>
      </c>
      <c r="B328" s="10" t="s">
        <v>399</v>
      </c>
      <c r="C328" s="10" t="s">
        <v>392</v>
      </c>
      <c r="D328" s="10" t="s">
        <v>392</v>
      </c>
      <c r="E328" s="40" t="str">
        <f t="shared" si="25"/>
        <v>No</v>
      </c>
    </row>
    <row r="329" spans="1:5" x14ac:dyDescent="0.25">
      <c r="A329" s="10" t="s">
        <v>442</v>
      </c>
      <c r="B329" s="10" t="s">
        <v>392</v>
      </c>
      <c r="C329" s="10" t="s">
        <v>392</v>
      </c>
      <c r="D329" s="10" t="s">
        <v>392</v>
      </c>
      <c r="E329" s="40" t="str">
        <f t="shared" si="25"/>
        <v>Yes</v>
      </c>
    </row>
    <row r="330" spans="1:5" x14ac:dyDescent="0.25">
      <c r="A330" s="10" t="s">
        <v>443</v>
      </c>
      <c r="B330" s="10" t="s">
        <v>392</v>
      </c>
      <c r="C330" s="10" t="s">
        <v>392</v>
      </c>
      <c r="D330" s="10" t="s">
        <v>392</v>
      </c>
      <c r="E330" s="40" t="str">
        <f t="shared" si="25"/>
        <v>Yes</v>
      </c>
    </row>
    <row r="331" spans="1:5" x14ac:dyDescent="0.25">
      <c r="A331" s="10" t="s">
        <v>444</v>
      </c>
      <c r="B331" s="10" t="s">
        <v>392</v>
      </c>
      <c r="C331" s="10" t="s">
        <v>396</v>
      </c>
      <c r="D331" s="10" t="s">
        <v>392</v>
      </c>
      <c r="E331" s="40" t="str">
        <f t="shared" si="25"/>
        <v>No</v>
      </c>
    </row>
    <row r="332" spans="1:5" x14ac:dyDescent="0.25">
      <c r="A332" s="10" t="s">
        <v>445</v>
      </c>
      <c r="B332" s="10" t="s">
        <v>392</v>
      </c>
      <c r="C332" s="10" t="s">
        <v>392</v>
      </c>
      <c r="D332" s="10" t="s">
        <v>392</v>
      </c>
      <c r="E332" s="40" t="str">
        <f t="shared" si="25"/>
        <v>Yes</v>
      </c>
    </row>
    <row r="333" spans="1:5" x14ac:dyDescent="0.25">
      <c r="A333" s="10" t="s">
        <v>446</v>
      </c>
      <c r="B333" s="10" t="s">
        <v>392</v>
      </c>
      <c r="C333" s="10" t="s">
        <v>392</v>
      </c>
      <c r="D333" s="10" t="s">
        <v>392</v>
      </c>
      <c r="E333" s="40" t="str">
        <f t="shared" si="25"/>
        <v>Yes</v>
      </c>
    </row>
    <row r="334" spans="1:5" x14ac:dyDescent="0.25">
      <c r="A334" s="10" t="s">
        <v>447</v>
      </c>
      <c r="B334" s="10" t="s">
        <v>392</v>
      </c>
      <c r="C334" s="10" t="s">
        <v>392</v>
      </c>
      <c r="D334" s="10" t="s">
        <v>392</v>
      </c>
      <c r="E334" s="40" t="str">
        <f t="shared" si="25"/>
        <v>Yes</v>
      </c>
    </row>
    <row r="338" spans="1:7" ht="17.25" x14ac:dyDescent="0.25">
      <c r="A338" s="113" t="s">
        <v>477</v>
      </c>
      <c r="B338" s="99"/>
      <c r="C338" s="99"/>
    </row>
    <row r="340" spans="1:7" ht="30" x14ac:dyDescent="0.25">
      <c r="A340" s="12" t="s">
        <v>199</v>
      </c>
      <c r="B340" s="12" t="s">
        <v>160</v>
      </c>
      <c r="C340" s="12" t="s">
        <v>464</v>
      </c>
      <c r="D340" s="12" t="s">
        <v>465</v>
      </c>
      <c r="E340" s="12" t="s">
        <v>462</v>
      </c>
      <c r="F340" s="12" t="s">
        <v>463</v>
      </c>
      <c r="G340" s="12" t="s">
        <v>461</v>
      </c>
    </row>
    <row r="341" spans="1:7" ht="15" customHeight="1" x14ac:dyDescent="0.25">
      <c r="A341" s="10">
        <v>1</v>
      </c>
      <c r="B341" s="10" t="s">
        <v>454</v>
      </c>
      <c r="C341" s="114">
        <v>60000</v>
      </c>
      <c r="D341" s="114">
        <v>20000</v>
      </c>
      <c r="E341" s="114">
        <v>15000</v>
      </c>
      <c r="F341" s="114">
        <v>30000</v>
      </c>
      <c r="G341" s="115">
        <v>125000</v>
      </c>
    </row>
    <row r="342" spans="1:7" x14ac:dyDescent="0.25">
      <c r="A342" s="10">
        <v>2</v>
      </c>
      <c r="B342" s="10" t="s">
        <v>455</v>
      </c>
      <c r="C342" s="114">
        <v>10000</v>
      </c>
      <c r="D342" s="114">
        <v>25000</v>
      </c>
      <c r="E342" s="114">
        <v>5000</v>
      </c>
      <c r="F342" s="114">
        <v>30000</v>
      </c>
      <c r="G342" s="115">
        <v>70000</v>
      </c>
    </row>
    <row r="343" spans="1:7" x14ac:dyDescent="0.25">
      <c r="A343" s="10">
        <v>3</v>
      </c>
      <c r="B343" s="10" t="s">
        <v>456</v>
      </c>
      <c r="C343" s="114">
        <v>120000</v>
      </c>
      <c r="D343" s="114">
        <v>40000</v>
      </c>
      <c r="E343" s="114">
        <v>10000</v>
      </c>
      <c r="F343" s="114">
        <v>10000</v>
      </c>
      <c r="G343" s="115">
        <v>180000</v>
      </c>
    </row>
    <row r="344" spans="1:7" x14ac:dyDescent="0.25">
      <c r="A344" s="10">
        <v>4</v>
      </c>
      <c r="B344" s="10" t="s">
        <v>457</v>
      </c>
      <c r="C344" s="114">
        <v>40000</v>
      </c>
      <c r="D344" s="114">
        <v>20000</v>
      </c>
      <c r="E344" s="114">
        <v>10000</v>
      </c>
      <c r="F344" s="114">
        <v>65000</v>
      </c>
      <c r="G344" s="115">
        <v>135000</v>
      </c>
    </row>
    <row r="345" spans="1:7" x14ac:dyDescent="0.25">
      <c r="A345" s="10">
        <v>5</v>
      </c>
      <c r="B345" s="10" t="s">
        <v>458</v>
      </c>
      <c r="C345" s="114">
        <v>70000</v>
      </c>
      <c r="D345" s="114">
        <v>40000</v>
      </c>
      <c r="E345" s="114">
        <v>30000</v>
      </c>
      <c r="F345" s="114">
        <v>20000</v>
      </c>
      <c r="G345" s="115">
        <v>160000</v>
      </c>
    </row>
    <row r="346" spans="1:7" x14ac:dyDescent="0.25">
      <c r="A346" s="10">
        <v>6</v>
      </c>
      <c r="B346" s="10" t="s">
        <v>14</v>
      </c>
      <c r="C346" s="114">
        <v>30000</v>
      </c>
      <c r="D346" s="114">
        <v>20000</v>
      </c>
      <c r="E346" s="114">
        <v>10000</v>
      </c>
      <c r="F346" s="114">
        <v>15000</v>
      </c>
      <c r="G346" s="115">
        <v>75000</v>
      </c>
    </row>
    <row r="347" spans="1:7" x14ac:dyDescent="0.25">
      <c r="A347" s="10">
        <v>7</v>
      </c>
      <c r="B347" s="10" t="s">
        <v>329</v>
      </c>
      <c r="C347" s="114">
        <v>160000</v>
      </c>
      <c r="D347" s="114">
        <v>10000</v>
      </c>
      <c r="E347" s="114">
        <v>50000</v>
      </c>
      <c r="F347" s="114">
        <v>5000</v>
      </c>
      <c r="G347" s="115">
        <v>225000</v>
      </c>
    </row>
    <row r="348" spans="1:7" x14ac:dyDescent="0.25">
      <c r="A348" s="10">
        <v>8</v>
      </c>
      <c r="B348" s="10" t="s">
        <v>459</v>
      </c>
      <c r="C348" s="114">
        <v>15000</v>
      </c>
      <c r="D348" s="114">
        <v>60000</v>
      </c>
      <c r="E348" s="114">
        <v>5000</v>
      </c>
      <c r="F348" s="114">
        <v>20000</v>
      </c>
      <c r="G348" s="115">
        <v>100000</v>
      </c>
    </row>
    <row r="349" spans="1:7" x14ac:dyDescent="0.25">
      <c r="A349" s="10">
        <v>9</v>
      </c>
      <c r="B349" s="10" t="s">
        <v>460</v>
      </c>
      <c r="C349" s="114">
        <v>60000</v>
      </c>
      <c r="D349" s="114">
        <v>30000</v>
      </c>
      <c r="E349" s="114">
        <v>20000</v>
      </c>
      <c r="F349" s="114">
        <v>10000</v>
      </c>
      <c r="G349" s="115">
        <v>120000</v>
      </c>
    </row>
    <row r="350" spans="1:7" x14ac:dyDescent="0.25">
      <c r="A350" s="10">
        <v>10</v>
      </c>
      <c r="B350" s="10" t="s">
        <v>312</v>
      </c>
      <c r="C350" s="114">
        <v>70000</v>
      </c>
      <c r="D350" s="114">
        <v>110000</v>
      </c>
      <c r="E350" s="114">
        <v>10000</v>
      </c>
      <c r="F350" s="114">
        <v>20000</v>
      </c>
      <c r="G350" s="115">
        <v>210000</v>
      </c>
    </row>
    <row r="353" spans="1:7" x14ac:dyDescent="0.25">
      <c r="A353" s="12" t="s">
        <v>199</v>
      </c>
      <c r="B353" s="12" t="s">
        <v>160</v>
      </c>
      <c r="C353" s="12" t="s">
        <v>475</v>
      </c>
      <c r="D353" s="12" t="s">
        <v>461</v>
      </c>
      <c r="E353" s="66" t="s">
        <v>466</v>
      </c>
      <c r="F353" s="12" t="s">
        <v>247</v>
      </c>
      <c r="G353" s="119" t="s">
        <v>474</v>
      </c>
    </row>
    <row r="354" spans="1:7" x14ac:dyDescent="0.25">
      <c r="A354" s="10">
        <v>3</v>
      </c>
      <c r="B354" s="10" t="s">
        <v>456</v>
      </c>
      <c r="C354" s="61">
        <v>1200000</v>
      </c>
      <c r="D354" s="61">
        <v>180000</v>
      </c>
      <c r="E354" s="120">
        <f>(D354/C354)</f>
        <v>0.15</v>
      </c>
      <c r="F354" s="121" t="s">
        <v>469</v>
      </c>
    </row>
    <row r="355" spans="1:7" x14ac:dyDescent="0.25">
      <c r="A355" s="10">
        <v>7</v>
      </c>
      <c r="B355" s="10" t="s">
        <v>329</v>
      </c>
      <c r="C355" s="61">
        <v>1500000</v>
      </c>
      <c r="D355" s="61">
        <v>225000</v>
      </c>
      <c r="E355" s="120">
        <f>(D355/C355)</f>
        <v>0.15</v>
      </c>
      <c r="F355" s="121" t="s">
        <v>469</v>
      </c>
    </row>
    <row r="356" spans="1:7" x14ac:dyDescent="0.25">
      <c r="A356" s="10">
        <v>5</v>
      </c>
      <c r="B356" s="10" t="s">
        <v>458</v>
      </c>
      <c r="C356" s="61">
        <v>800000</v>
      </c>
      <c r="D356" s="61">
        <v>160000</v>
      </c>
      <c r="E356" s="120">
        <f>(D356/C356)</f>
        <v>0.2</v>
      </c>
      <c r="F356" s="121" t="s">
        <v>471</v>
      </c>
    </row>
    <row r="357" spans="1:7" x14ac:dyDescent="0.25">
      <c r="A357" s="10">
        <v>9</v>
      </c>
      <c r="B357" s="10" t="s">
        <v>460</v>
      </c>
      <c r="C357" s="61">
        <v>600000</v>
      </c>
      <c r="D357" s="61">
        <v>120000</v>
      </c>
      <c r="E357" s="120">
        <f>(D357/C357)</f>
        <v>0.2</v>
      </c>
      <c r="F357" s="121" t="s">
        <v>471</v>
      </c>
    </row>
    <row r="358" spans="1:7" x14ac:dyDescent="0.25">
      <c r="A358" s="10">
        <v>1</v>
      </c>
      <c r="B358" s="10" t="s">
        <v>454</v>
      </c>
      <c r="C358" s="61">
        <v>500000</v>
      </c>
      <c r="D358" s="61">
        <v>125000</v>
      </c>
      <c r="E358" s="120">
        <f>(D358/C358)</f>
        <v>0.25</v>
      </c>
      <c r="F358" s="121" t="s">
        <v>467</v>
      </c>
    </row>
    <row r="359" spans="1:7" x14ac:dyDescent="0.25">
      <c r="A359" s="10">
        <v>6</v>
      </c>
      <c r="B359" s="10" t="s">
        <v>14</v>
      </c>
      <c r="C359" s="61">
        <v>300000</v>
      </c>
      <c r="D359" s="61">
        <v>75000</v>
      </c>
      <c r="E359" s="120">
        <f>(D359/C359)</f>
        <v>0.25</v>
      </c>
      <c r="F359" s="121" t="s">
        <v>467</v>
      </c>
    </row>
    <row r="360" spans="1:7" x14ac:dyDescent="0.25">
      <c r="A360" s="10">
        <v>10</v>
      </c>
      <c r="B360" s="10" t="s">
        <v>312</v>
      </c>
      <c r="C360" s="61">
        <v>750000</v>
      </c>
      <c r="D360" s="61">
        <v>210000</v>
      </c>
      <c r="E360" s="120">
        <f>(D360/C360)</f>
        <v>0.28000000000000003</v>
      </c>
      <c r="F360" s="121" t="s">
        <v>473</v>
      </c>
    </row>
    <row r="361" spans="1:7" x14ac:dyDescent="0.25">
      <c r="A361" s="10">
        <v>4</v>
      </c>
      <c r="B361" s="10" t="s">
        <v>457</v>
      </c>
      <c r="C361" s="61">
        <v>450000</v>
      </c>
      <c r="D361" s="61">
        <v>135000</v>
      </c>
      <c r="E361" s="120">
        <f>(D361/C361)</f>
        <v>0.3</v>
      </c>
      <c r="F361" s="121" t="s">
        <v>470</v>
      </c>
    </row>
    <row r="362" spans="1:7" x14ac:dyDescent="0.25">
      <c r="A362" s="10">
        <v>2</v>
      </c>
      <c r="B362" s="10" t="s">
        <v>455</v>
      </c>
      <c r="C362" s="61">
        <v>200000</v>
      </c>
      <c r="D362" s="61">
        <v>70000</v>
      </c>
      <c r="E362" s="120">
        <f>(D362/C362)</f>
        <v>0.35</v>
      </c>
      <c r="F362" s="121" t="s">
        <v>468</v>
      </c>
    </row>
    <row r="363" spans="1:7" x14ac:dyDescent="0.25">
      <c r="A363" s="10">
        <v>8</v>
      </c>
      <c r="B363" s="10" t="s">
        <v>459</v>
      </c>
      <c r="C363" s="61">
        <v>250000</v>
      </c>
      <c r="D363" s="61">
        <v>100000</v>
      </c>
      <c r="E363" s="120">
        <f>(D363/C363)</f>
        <v>0.4</v>
      </c>
      <c r="F363" s="121" t="s">
        <v>472</v>
      </c>
    </row>
  </sheetData>
  <autoFilter ref="A353:H363">
    <sortState ref="A353:H362">
      <sortCondition ref="E352:E362"/>
    </sortState>
  </autoFilter>
  <mergeCells count="15">
    <mergeCell ref="C48:F48"/>
    <mergeCell ref="C43:F43"/>
    <mergeCell ref="C44:F44"/>
    <mergeCell ref="C45:F45"/>
    <mergeCell ref="C46:F46"/>
    <mergeCell ref="C47:F47"/>
    <mergeCell ref="E94:F94"/>
    <mergeCell ref="E95:F95"/>
    <mergeCell ref="E96:F96"/>
    <mergeCell ref="E88:F88"/>
    <mergeCell ref="E89:F89"/>
    <mergeCell ref="E90:F90"/>
    <mergeCell ref="E91:F91"/>
    <mergeCell ref="E92:F92"/>
    <mergeCell ref="E93:F93"/>
  </mergeCells>
  <pageMargins left="0.7" right="0.7" top="0.75" bottom="0.75" header="0.3" footer="0.3"/>
  <pageSetup orientation="portrait" r:id="rId1"/>
  <ignoredErrors>
    <ignoredError sqref="G256:G25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2026-01-23T11:31:55Z</dcterms:modified>
</cp:coreProperties>
</file>